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Dokumente_Kopie\Studieren\HSRT\4.Semester\WV-Falluntersuchung\"/>
    </mc:Choice>
  </mc:AlternateContent>
  <xr:revisionPtr revIDLastSave="0" documentId="8_{18BB6347-C170-4BB8-9B91-A2A62051AEB7}" xr6:coauthVersionLast="47" xr6:coauthVersionMax="47" xr10:uidLastSave="{00000000-0000-0000-0000-000000000000}"/>
  <bookViews>
    <workbookView xWindow="-110" yWindow="-110" windowWidth="19420" windowHeight="10300" activeTab="3" xr2:uid="{D43BE838-0F67-495B-AC97-BFD5034A9D9B}"/>
  </bookViews>
  <sheets>
    <sheet name="Legende" sheetId="1" r:id="rId1"/>
    <sheet name="Codierbuch" sheetId="2" r:id="rId2"/>
    <sheet name="Fallübersicht" sheetId="3" r:id="rId3"/>
    <sheet name="Arbeitstabelle" sheetId="4" r:id="rId4"/>
    <sheet name="Ergebnistabelle" sheetId="5" r:id="rId5"/>
  </sheets>
  <definedNames>
    <definedName name="Phasenabdecku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9" i="5" l="1"/>
  <c r="D19" i="5"/>
  <c r="C18" i="5"/>
  <c r="D18" i="5"/>
  <c r="B18" i="5"/>
  <c r="D14" i="5"/>
  <c r="C13" i="5"/>
  <c r="D13" i="5"/>
  <c r="B13" i="5"/>
  <c r="C9" i="5"/>
  <c r="D9" i="5"/>
  <c r="E9" i="5"/>
  <c r="B9" i="5"/>
  <c r="C8" i="5"/>
  <c r="D8" i="5"/>
  <c r="E8" i="5"/>
  <c r="B8" i="5"/>
  <c r="C4" i="5"/>
  <c r="D4" i="5"/>
  <c r="D3" i="5"/>
  <c r="C3" i="5"/>
  <c r="B4" i="5"/>
  <c r="B3" i="5"/>
  <c r="E3" i="5" s="1"/>
  <c r="B23" i="5" s="1"/>
  <c r="N2" i="4"/>
  <c r="N3" i="4"/>
  <c r="N4" i="4"/>
  <c r="N5" i="4"/>
  <c r="N6" i="4"/>
  <c r="N7" i="4"/>
  <c r="N8" i="4"/>
  <c r="N9" i="4"/>
  <c r="N10" i="4"/>
  <c r="N11" i="4"/>
  <c r="N12" i="4"/>
  <c r="N13" i="4"/>
  <c r="N14" i="4"/>
  <c r="N15" i="4"/>
  <c r="N16" i="4"/>
  <c r="N17" i="4"/>
  <c r="N18" i="4"/>
  <c r="N19" i="4"/>
  <c r="N20" i="4"/>
  <c r="N21" i="4"/>
  <c r="N22" i="4"/>
  <c r="B14" i="5" s="1"/>
  <c r="N23" i="4"/>
  <c r="C14" i="5" s="1"/>
  <c r="N24" i="4"/>
  <c r="N25" i="4"/>
  <c r="B19" i="5" s="1"/>
  <c r="E19" i="5" s="1"/>
  <c r="E24" i="5" s="1"/>
  <c r="N26" i="4"/>
  <c r="N27" i="4"/>
  <c r="M2" i="4"/>
  <c r="M3" i="4"/>
  <c r="M4" i="4"/>
  <c r="M5" i="4"/>
  <c r="M6" i="4"/>
  <c r="M7" i="4"/>
  <c r="M8" i="4"/>
  <c r="M9" i="4"/>
  <c r="M10" i="4"/>
  <c r="M11" i="4"/>
  <c r="M12" i="4"/>
  <c r="M13" i="4"/>
  <c r="M14" i="4"/>
  <c r="M15" i="4"/>
  <c r="M16" i="4"/>
  <c r="M17" i="4"/>
  <c r="M18" i="4"/>
  <c r="M19" i="4"/>
  <c r="M20" i="4"/>
  <c r="M21" i="4"/>
  <c r="M22" i="4"/>
  <c r="M23" i="4"/>
  <c r="M24" i="4"/>
  <c r="M25" i="4"/>
  <c r="M26" i="4"/>
  <c r="M27" i="4"/>
  <c r="E18" i="5" l="1"/>
  <c r="E23" i="5" s="1"/>
  <c r="C28" i="5" s="1"/>
  <c r="E28" i="5" s="1"/>
  <c r="E4" i="5"/>
  <c r="B24" i="5" s="1"/>
  <c r="E14" i="5"/>
  <c r="D24" i="5" s="1"/>
  <c r="C29" i="5" s="1"/>
  <c r="E29" i="5" s="1"/>
  <c r="E13" i="5"/>
  <c r="D23" i="5" s="1"/>
  <c r="F8" i="5"/>
  <c r="C23" i="5" s="1"/>
  <c r="F9" i="5"/>
  <c r="B28" i="5"/>
  <c r="D28" i="5" s="1"/>
  <c r="C24" i="5" l="1"/>
  <c r="B29" i="5" s="1"/>
  <c r="D29" i="5" s="1"/>
</calcChain>
</file>

<file path=xl/sharedStrings.xml><?xml version="1.0" encoding="utf-8"?>
<sst xmlns="http://schemas.openxmlformats.org/spreadsheetml/2006/main" count="445" uniqueCount="208">
  <si>
    <t xml:space="preserve">Aufbau: </t>
  </si>
  <si>
    <t>Vergleichsdimensionen</t>
  </si>
  <si>
    <t xml:space="preserve">Datenerhebung </t>
  </si>
  <si>
    <t xml:space="preserve">Machtverteilung </t>
  </si>
  <si>
    <t>Institutionelle Einordnung</t>
  </si>
  <si>
    <t>Ressourcennutzung</t>
  </si>
  <si>
    <t>Dimension</t>
  </si>
  <si>
    <t>Quelle</t>
  </si>
  <si>
    <t>ID</t>
  </si>
  <si>
    <t>D</t>
  </si>
  <si>
    <t>M</t>
  </si>
  <si>
    <t>R</t>
  </si>
  <si>
    <t>I</t>
  </si>
  <si>
    <t xml:space="preserve">ID </t>
  </si>
  <si>
    <t>Achse</t>
  </si>
  <si>
    <t>Indikator</t>
  </si>
  <si>
    <t>D1</t>
  </si>
  <si>
    <t>Datenerhebung</t>
  </si>
  <si>
    <t>Y</t>
  </si>
  <si>
    <t>Herkunft der Kategorien / Label</t>
  </si>
  <si>
    <t xml:space="preserve">extern gesetzt </t>
  </si>
  <si>
    <t>0</t>
  </si>
  <si>
    <t>1</t>
  </si>
  <si>
    <t>2</t>
  </si>
  <si>
    <t>D2</t>
  </si>
  <si>
    <t>D3</t>
  </si>
  <si>
    <t>Rolle der Betroffenen bei der Datenerhebung</t>
  </si>
  <si>
    <t>Datenquelle/Objekt der Datenerhebung</t>
  </si>
  <si>
    <t>Dokumentation der Datensituierung (ref to "situated knowledges, Haraway 1988)</t>
  </si>
  <si>
    <t>keine Angaben zu Kontext und Grenzen der Daten</t>
  </si>
  <si>
    <t>teilweise Nennung (Limitationen)</t>
  </si>
  <si>
    <t>systematische Dokumentation (Datasheet (Gebru))</t>
  </si>
  <si>
    <t>M1</t>
  </si>
  <si>
    <t>Machtverteilung</t>
  </si>
  <si>
    <t>M2</t>
  </si>
  <si>
    <t>M3</t>
  </si>
  <si>
    <t>M4</t>
  </si>
  <si>
    <t>Definitionsmacht</t>
  </si>
  <si>
    <t>Problem- und Kategoriendefinition beim Projektteam</t>
  </si>
  <si>
    <t>Prozessmacht</t>
  </si>
  <si>
    <t>kein Mitbestimmungsrecht oder Veto-Option</t>
  </si>
  <si>
    <t>Verbindliche Mitentscheidung und Veto-Option</t>
  </si>
  <si>
    <t>Repräsentationsmacht</t>
  </si>
  <si>
    <t xml:space="preserve">Community erscheint nicht als Projektträgerin </t>
  </si>
  <si>
    <t>Community wird in Nennung / Danksagung genannt</t>
  </si>
  <si>
    <t>Co-Autor:innen, Co-Trägerschaft des Projekts, Sichtbarkeit als Eigentümer:innen</t>
  </si>
  <si>
    <t>Artefaktmacht</t>
  </si>
  <si>
    <t>Daten/Modell/Code  ist geteilt oder lizenzoffen ohne Verfügungsrecht</t>
  </si>
  <si>
    <t>Daten/Modell/Code liegt ausschließlich beim Projektteam</t>
  </si>
  <si>
    <t>Verfügungsrecht liegt bei der Community</t>
  </si>
  <si>
    <t>I1</t>
  </si>
  <si>
    <t>X</t>
  </si>
  <si>
    <t>I2</t>
  </si>
  <si>
    <t>I3</t>
  </si>
  <si>
    <t>Trägerschaft des Projekts</t>
  </si>
  <si>
    <t>informell, Einzelprojekt</t>
  </si>
  <si>
    <t>NGO oder Forschungsverbund</t>
  </si>
  <si>
    <t>formelle Institution mit Mandat</t>
  </si>
  <si>
    <t xml:space="preserve">Verankerung in Abnehmerinstitution </t>
  </si>
  <si>
    <t>keine (nur Prototyp-Entwicklung ohne Abnehmer)</t>
  </si>
  <si>
    <t>Pilot- oder Testbetrieb</t>
  </si>
  <si>
    <t>Regelbetrieb, volle Integration in Arbeitsabläufe</t>
  </si>
  <si>
    <t>unbefristete Trägerschaft</t>
  </si>
  <si>
    <t>Verlängerung in Aussicht</t>
  </si>
  <si>
    <t>Laufzeit endet mit Förderperiode</t>
  </si>
  <si>
    <t>R1</t>
  </si>
  <si>
    <t>R2</t>
  </si>
  <si>
    <t>R3</t>
  </si>
  <si>
    <t xml:space="preserve">Kontinuität </t>
  </si>
  <si>
    <t>Finanzierungsform</t>
  </si>
  <si>
    <t>Technische Abhängigkeit</t>
  </si>
  <si>
    <t>Personelle Tragfähigkeit</t>
  </si>
  <si>
    <t>wiederkehrende Projektmittel</t>
  </si>
  <si>
    <t>Regelbudget der Trägerinstitution</t>
  </si>
  <si>
    <t>copyrighted / proprietäre Corporate-KI-API als Kernkomponente</t>
  </si>
  <si>
    <t>Mischform oder austauschbare Abhängigkeiten</t>
  </si>
  <si>
    <t>eigenes oder Open-Source-Modell</t>
  </si>
  <si>
    <t>befristetes Projektteam</t>
  </si>
  <si>
    <t>festes Personal</t>
  </si>
  <si>
    <t>Projektname</t>
  </si>
  <si>
    <t xml:space="preserve">Verwendung </t>
  </si>
  <si>
    <t>Erhebungsjahr</t>
  </si>
  <si>
    <t>abgedeckte Projektphasen</t>
  </si>
  <si>
    <t>Region</t>
  </si>
  <si>
    <t>Trägertyp</t>
  </si>
  <si>
    <t>Notiz</t>
  </si>
  <si>
    <t>AYM</t>
  </si>
  <si>
    <t>AymurAI</t>
  </si>
  <si>
    <t>Vergleich</t>
  </si>
  <si>
    <t xml:space="preserve">Marianela Ciolfi Felice, Ivana Feldfeber, Carolina Glasserman Apicella, Yasmín Belén Quiroga, Julián Ansaldo, Luciano Lapenna, Santiago Bezchinsky, Raul Barriga Rubio, and Mailén García. 2025. Doing the Feminist Work in AI: Reflections from an AI Project in Latin America. In Proceedings of the 2025 CHI Conference on Human Factors in Computing Systems (CHI '25). Association for Computing Machinery, New York, NY, USA, Article 998, 1–18. https://doi.org/10.1145/3706598.3713681 </t>
  </si>
  <si>
    <t>co-produzierend (Annotation, Kuratierung, Co-Autorschaft)</t>
  </si>
  <si>
    <t>Fall-ID</t>
  </si>
  <si>
    <t>Status</t>
  </si>
  <si>
    <t>Indikator-ID</t>
  </si>
  <si>
    <t>Ankerbegründung</t>
  </si>
  <si>
    <t>Belegstelle</t>
  </si>
  <si>
    <t>Belegzitat</t>
  </si>
  <si>
    <t>Codierungsunsicherheit</t>
  </si>
  <si>
    <t>Abweichung</t>
  </si>
  <si>
    <t>SUR</t>
  </si>
  <si>
    <t>Harini Suresh, Rajiv Movva, Amelia Lee Dogan, Rahul Bhargava, IsadoraCruxên, Ángeles Martinez Cuba, Giulia Taurino, Wonyoung So, and Cather-ine D’Ignazio. 2022. Towards Intersectional Feminist and Participatory ML:A Case Study in Supporting Feminicide Counterdata Collection. In 2022 ACMConference on Fairness, Accountability, and Transparency (FAccT ’22), June21–24, 2022, Seoul, Republic of Korea. ACM, New York, NY, USA, 12 pages. https://doi.org/10.1145/3531146.3533132</t>
  </si>
  <si>
    <t>Globaler Süden (spez. Argentinien)</t>
  </si>
  <si>
    <t>Transdisziplinär (Aktivist:innen, Justiz, Software Entwickler:innen (fWi) und Akademiker:innen)</t>
  </si>
  <si>
    <t>Anforderungserhebung, Datenerhebung (hier Fokus), Datenkuratierung, Labelling/Annotation, ML-Modell-Entwicklung (Log. Regression), Implementierung, Evaluation, Deployment und Betrieb bei Abnehmer</t>
  </si>
  <si>
    <t>Anforderungserhebung, Datenerhebung (nur anonymisierter  Datentransfer von Justiz), Datenkuratierung, Labelling,Modellentwicklung, Implementierung, Evaluation, Deployment und Betrieb bei Abnehmer</t>
  </si>
  <si>
    <t>Globaler Norden mit teilnehmenden Parteien aus Lateinamerika (GS)</t>
  </si>
  <si>
    <t>Akademisch-Aktivistisch (MIT Forscher:innen für Abnehmer fem. Aktivist:innen-Gruppen in USA und Lateinamerika (Uruguay und Argentinien)</t>
  </si>
  <si>
    <t>Normierung (0-1)</t>
  </si>
  <si>
    <t>Y-Index</t>
  </si>
  <si>
    <t>X-Index</t>
  </si>
  <si>
    <t>Achsen und Quadranten (Matrix)</t>
  </si>
  <si>
    <t>Y-Quadrant</t>
  </si>
  <si>
    <t>X-Quadrant</t>
  </si>
  <si>
    <t>Wert (1-Mal)</t>
  </si>
  <si>
    <t>Wert (2-Mal)</t>
  </si>
  <si>
    <t>Indikatoren</t>
  </si>
  <si>
    <t>The development process did not involve access to or collection of personal data by the team, nor did it involve research with participants.</t>
  </si>
  <si>
    <t>Kein Datasheet zu Limitationen aber ausführliche Nennung der Datenschutzpraktiken, -herkunft und -handhabung.</t>
  </si>
  <si>
    <t>The court staff are the only ones who have access to real rulings as part of their daily work, as they are those who produce, process, and anonymise them manually before making them available, since 2016.</t>
  </si>
  <si>
    <t>"To preserve the privacy of individuals mentioned in the rulings, AymurAI was trained exclusively with documents where all the personal data had been changed for fake data by court staff, with the judge’s approval and support, and under the supervision of A4. [...] This means that no member of the project external to the court had access to any real personal data at any time. [...]. The development process did not involve access to or collection of personal data by the team, nor did it involve research with participants"</t>
  </si>
  <si>
    <t>extern gesetzt, nachträglich mit Betroffenen (auch Stellvertreter) abgeglichen</t>
  </si>
  <si>
    <t>Betroffene (auch Stellvertreter) wurden konsultiert (bspw. Interviews, Feedbackrunden)</t>
  </si>
  <si>
    <t>co-konstruiert mit den Betroffenen (auch Stellvertreter)</t>
  </si>
  <si>
    <t>Definitionshoheit bei Betroffenen / bei der Community (auch Stellvertreter)</t>
  </si>
  <si>
    <t>Daten stammen von der Justizanstalt selbst und wurden dort eigenständig (anonymisiert) kuratiert und gelabelleld, nachdem sie von Data Genéro explizit dazu geschult wurden. Data Género gilt als Stellvertrer der Betroffenen.</t>
  </si>
  <si>
    <t>Definitionen von Projektteam und mit Community (auch Stellvertreter) abgeglichen (geteilte Definitionen)</t>
  </si>
  <si>
    <t>Ergänzende Hinweise</t>
  </si>
  <si>
    <t>"For the latter, Google’s Universal Sentence Encoder Multilingual QA model is employed, improving accuracy."</t>
  </si>
  <si>
    <t>Kapitel 3.3 Technical implementation, Abs. 1</t>
  </si>
  <si>
    <t>Es wurde ein eigenständiges System entwickelt, worin jedoch die Postprocessing-Komponente das Google Universal Sentence Encoder Multilingual QA Modell verwendet.</t>
  </si>
  <si>
    <t>ehrenamtlich oder befristet, Einzelpersonen</t>
  </si>
  <si>
    <t>Betroffene (auch Stellvertreter) sind konsultierend / unverbindlich eingebunden</t>
  </si>
  <si>
    <t>Acknowledgements</t>
  </si>
  <si>
    <t xml:space="preserve">Autor:innen des Papers sind Akademiker:innen, DataGenero und die Entwickler:innen. Acknowledgements gehen ausschließlich an Mitarbeitende des Gerichts, den Universitäten und der Förderung. </t>
  </si>
  <si>
    <t>AymurAI ist ein Open-Source Tool, welches der Verfügungsmacht des Projektteams unterliegt.</t>
  </si>
  <si>
    <t>Kapitel 3.1 Project chronology</t>
  </si>
  <si>
    <t>"The tool is auditable, its code is open, and its models are available."</t>
  </si>
  <si>
    <t>We are deeply thankful to judges Pablo Casas and Antonella Mandolesi, to the Latin American f&lt;A+I&gt;r network, and to Paola Ricaurte in particular. Marianela also thanks Carla Griggio, Rob Comber, Madeline Balaam and the IxD team at KTH for their support and long conversations during the writing of this paper.</t>
  </si>
  <si>
    <t xml:space="preserve">DataGénero hatte Mitbestimmungsmacht, zählt aber nicht als "Betroffene", da eigenständige fachliche Organisation. </t>
  </si>
  <si>
    <t xml:space="preserve">DataGénero hatte Definitionsmacht, zählt aber nicht als "Betroffene", da eigenständige fachliche Organisation. </t>
  </si>
  <si>
    <t>DataGénero identified the need to provide technological support and training to courts so they could open their data securely and efficiently.</t>
  </si>
  <si>
    <t>The process started with interviews and contextual inquiries with A4 to learn about the court’s existing practices, team workshops to establish requirements and constraints, and meetings with Aerolab to refine interaction styles and visual design. In parallel, DataGénero provided training to the developers and data labellers on gender perspectives and the project’s background.</t>
  </si>
  <si>
    <t>NGO und Justizamt mit Mandat gemeinsam mit Akademiker:innen</t>
  </si>
  <si>
    <t>AymurAI is a transdisciplinary project that combines actors from activism, the judiciary, software development, and academic research.</t>
  </si>
  <si>
    <t>Kapitel 1 Introduction</t>
  </si>
  <si>
    <t>Einmalige Förder(Projekt/Drittmittel)</t>
  </si>
  <si>
    <t>AymurAI is a desktop application, designed to be installed directly on the servers of the Judicial Council (as all judicial applications are in Argentina, securely, centrally, and monitored by the Council’s cybersecurity team).</t>
  </si>
  <si>
    <t>AymurAI wurde von der Argentinischen Justiz übernommen und auf deren eigenen Servern implementiert.</t>
  </si>
  <si>
    <t>Das Projekt wurde durch das A+ Förderprogramm unterstützt.</t>
  </si>
  <si>
    <t>In turn, the NGO partnered with an HCI researcher (A1) in the frame of the &lt;A+&gt; alliance’s pilot programme in 2022.</t>
  </si>
  <si>
    <t>Kapitel 3 Case study against Feminicide</t>
  </si>
  <si>
    <t>For our initial prototype, we collected and annotated two datasets of 399 and 424 articles, respectively: the first in English, in collaboration with Women Count USA (a US-based activist group), and the second in Spanish, in collaboration with a Feminicidio Uruguay (a Uruguay-based activist group).</t>
  </si>
  <si>
    <t xml:space="preserve">Daten wurden gemeinsam mit WomenCount USA (engl. Daten) und Feminicido Uruguay (span. Datensatz) gesammelt und annotiert. </t>
  </si>
  <si>
    <t>Das Projekt entstand im Rahmen der Forschungsgruppe Data + Feminism Lab am MIT, USA</t>
  </si>
  <si>
    <t>The Data Against Feminicide project — co-organized by the Data + Feminism Lab at MIT, Feminicidio Uruguay, and the Latin American Initiative for Open Data (ILDA)</t>
  </si>
  <si>
    <t xml:space="preserve"> Pilotbetrieb wurde mit mehreren aktivistischen Gruppen in den USA und Lateinamerika durchgeführt (größtenteils USA).</t>
  </si>
  <si>
    <t>[…] and in Spring 2021, we ran a two-month pilot with seven groups to gauge if and how it would help in practice.</t>
  </si>
  <si>
    <t>We wish to acknowledge the Sovereign Bodies Institute, the African American Policy Forum, and all of the people and organizations interviewed in the Data Against Feminicide project for their time, labor, care and dedication to righting the balance of justice.</t>
  </si>
  <si>
    <t>Die unterstützenden aktivistischen Organisationen sind keine Co-Autor:innen, wurden aber durchaus des Papers konsultiert, Feedback umgesetzt und in Danksagung genannt.</t>
  </si>
  <si>
    <t xml:space="preserve">Datenerhebung und Annotation erfolgt durch das Projektteam aber in vorheriger Definition der jeweils für die aktivistischen Gruppen relevanten Terme. </t>
  </si>
  <si>
    <t>We annotate the datasets for each group in accordance with what they consider relevant, rather than an arbitrary binary gender label.</t>
  </si>
  <si>
    <t>Kapitel 4.4 Rethink Binaries and Hierarchies</t>
  </si>
  <si>
    <t>The project is co-led by three people with diverse backgrounds and positionalities, including a counterdata activist who helped surface the value of activists’ situated knowledge from the start. The ideas we chose to develop were brainstormed in participatory co-design sessions with two activist groups working in different contexts, and piloted with seven organizations across four countries. A pluralistic process helps enable  conceptual pluralism — wherein the framing of the problem is cognisant of and affirms the value of multiple perspectives rather than enforcing a single ground truth.</t>
  </si>
  <si>
    <t>Kapitel 4.2 Embrace Pluralism</t>
  </si>
  <si>
    <t>Die zu entwickelnden Lösungen des Projektes wurden in partizipativen Co-Design Sessions mit den Aktivist:innen-Gruppen ausgearbeitet. Im weiteren Verlauf des Projekts wurden regelmäßige Evaluationen, Fokusgruppen und wöchentliche Befragungen zur Nutzung des Tools geführt.</t>
  </si>
  <si>
    <t xml:space="preserve">Planung des Projektes basierend auf das bei aktivistischen Gruppen situierte Wissen. Nennung und Beschreibung der konkreten Limitationen bei ML-Training zu spezifisch intersektionalen Femiziden. </t>
  </si>
  <si>
    <t>1) The project is co-led by three people with diverse backgrounds and positionalities [...] including a counter-data activist, who helped surface the value of activists situated knowledge from the start. 2) While some groups (in particular, those that broadly monitored all types of feminicide) found they were receiving relevant results, others (those that focused on specific, intersectional cases, such as MMIWG2) struggled to find any relevant results at  all. [...] In subsequent rounds of development and evaluation, we have built out different models for groups that work in different contexts and face different challenges</t>
  </si>
  <si>
    <t>1) Kapitel 4.2 Embrace pluralism 2) Kapitel 4.3 Consider Context</t>
  </si>
  <si>
    <t>As part of the overarching Data Against Feminicide project, we are onboarding 20 more monitoring organizations into the Email Alerts system.</t>
  </si>
  <si>
    <t>Das Data Against Feminicide Projekt läuft weiter und ist auch heute aktiv.</t>
  </si>
  <si>
    <t>Kapitel 7 Discussion</t>
  </si>
  <si>
    <t>We acknowledge limitations of both these approaches. Since TF-IDF only relies on word counts, it has trouble disambiguating the victim, perpetrator, and other people mentioned in an article. […] hough the sentence encoder can theoretically distinguish these cases by accounting for interactions between words, it may have other flaws: e.g. (1) it is trained on a very general text distribution, so it may ignore or poorly handle the language specific to our intersectional article set; (2) it condenses each article into a 512-dim embedding vector, which may lose relevant semantics and context.</t>
  </si>
  <si>
    <t>Kapitel 5.2 Data Annotation</t>
  </si>
  <si>
    <t>wechselnde Teilnehmer*innen am Data + Feminism Lab, aber feste Laborleitung durch D'Ignazio.</t>
  </si>
  <si>
    <t>„The authors of this paper are part of the ongoing AymurAI project“ / „an existing, functioning, ongoing example of feminist approaches to AI development“</t>
  </si>
  <si>
    <t>Kapitel 1 Introduction (S.2) / Kapitel 7 Conclusions (S.15)</t>
  </si>
  <si>
    <t>Projekt wird weitergeführt, das System AymurAI selbst wurde übernommen und implementiert. Das Open Source System kann frei weiter entwickelt werden.</t>
  </si>
  <si>
    <t>Es gab nur eine Vollzeit-Forscher*in im Team, das weitere Team bestand aus projektbasiert angestellten Personen.</t>
  </si>
  <si>
    <t>Kapitel 4 Method, S.5</t>
  </si>
  <si>
    <t>"with only one full-time researcher in the team [...]"</t>
  </si>
  <si>
    <t>Through co-design sessions with groups, we conceptualized, built, and deployed an ML-based system</t>
  </si>
  <si>
    <t xml:space="preserve">Betrieb und Deployment liegt beim Projektteam, Zum Pilotbetrieb konnten die akt. Gruppen selbst die zu suchenden Terme im Tool definieren. </t>
  </si>
  <si>
    <t>Es wurde ein Logistisches Regressionsmodell verwendet, in welches term frequency-inverse document frequency (TF-IDF) und TensorFlow Universal Sentence Encoder (gleich wie AYM) embedded wurden. Der Sentence Encoder ist ein prä-trainertes Modell, weshalb eine Abhängigkeit entsteht.</t>
  </si>
  <si>
    <t>"limited computational resources"</t>
  </si>
  <si>
    <t>Kapitel 5.3</t>
  </si>
  <si>
    <t>keine konkrete Angabe zur Finanzierung; Annahme: wiederkehrende Projektmittel zum Data + Feminism Lab am MIT. Die einzige Ressourcenangabe war Belegzitat.</t>
  </si>
  <si>
    <t>Daten stammen aus der Justiz und wurden anonymisiert vor der weiteren Verarbeitung. Es wurden keine Betroffenen direkt befragt oder miteinbezogen.</t>
  </si>
  <si>
    <t>Kapitel 3.2 Ethical considerations, Abs. 1 (p.5)</t>
  </si>
  <si>
    <t>Endwert</t>
  </si>
  <si>
    <t>Summe D</t>
  </si>
  <si>
    <t>Summe M</t>
  </si>
  <si>
    <t>Summe I</t>
  </si>
  <si>
    <t>Summe R</t>
  </si>
  <si>
    <t>D'Ignazio &amp; Klein, Data Feminism for AI, 2024</t>
  </si>
  <si>
    <t>Haraway, Situated Knowledges, 1988; D'Ignazio &amp; Klein, Data Feminism, 2020; D'Ignazio &amp; Klein, Data Feminism for AI, 2024</t>
  </si>
  <si>
    <t>D'Ignazio &amp; Klein, Data Feminism, 2020; D'Ignazio &amp; Klein, Data Feminism for AI, 2024</t>
  </si>
  <si>
    <t>Data against Feminicide</t>
  </si>
  <si>
    <t xml:space="preserve">Blatt 3 ist die angewandte Codierung von Blatt 1 auf die ausgewählten Fälle. In der Arbeitstabelle wird zu jeder Codierung eine Belegstelle aus dem Text hinzugefügt. Nach einer Woche wurde ein weiterer Codier-Durchlauf vorgenommen, um mögliche Unstimmigkeiten aus dem ersten Durchlauf zu korrigieren. </t>
  </si>
  <si>
    <t>Blatt 4 ist die Ergebnistabelle, hier werden die Inhalte aus der Arbeitstabelle verdichtet und die Werte normiert, um schlussendlich die zu markierenden Koordinaten für die Matrix zu bestimmen.</t>
  </si>
  <si>
    <t>Stellvertretende Organisationen gelten nur dann als Betroffene, wenn eine feste Verbindung zwischen der Organisation zu tatsächlichen Betroffenen dokumentiert ist und nicht wenn es eine eigenständige fachliche Organisation mit eigenen Zielen ist.</t>
  </si>
  <si>
    <t>Tabellenblatt</t>
  </si>
  <si>
    <t>Erklärung</t>
  </si>
  <si>
    <t>Fallübersicht</t>
  </si>
  <si>
    <t>Arbeitstabelle</t>
  </si>
  <si>
    <t>Ergebnistabelle</t>
  </si>
  <si>
    <t>Hier liegt das Codierbuch und zeigt nach welchen Indikatoren die vier Vergleichsdimensionen gemessen werden (Bewertung von 0-2)</t>
  </si>
  <si>
    <t>Codierbuch</t>
  </si>
  <si>
    <t>Hier ist die Fallübersicht. Hier werden die jeweiligen Merkmale je Fall notiert.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</si>
</sst>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5"/>
      <color theme="3"/>
      <name val="Aptos Narrow"/>
      <family val="2"/>
      <scheme val="minor"/>
    </font>
    <font>
      <sz val="8"/>
      <name val="Aptos Narrow"/>
      <family val="2"/>
      <scheme val="minor"/>
    </font>
    <font>
      <sz val="11"/>
      <name val="Aptos Narrow"/>
      <family val="2"/>
      <scheme val="minor"/>
    </font>
    <font>
      <sz val="8"/>
      <color theme="1"/>
      <name val="Aptos Narrow"/>
      <family val="2"/>
      <scheme val="minor"/>
    </font>
    <font>
      <sz val="10"/>
      <color theme="1"/>
      <name val="Arial Unicode MS"/>
    </font>
    <font>
      <sz val="11"/>
      <color rgb="FF242424"/>
      <name val="Aptos Narrow"/>
      <charset val="1"/>
    </font>
    <font>
      <b/>
      <sz val="11"/>
      <color theme="1"/>
      <name val="Aptos Narrow"/>
      <family val="2"/>
      <scheme val="minor"/>
    </font>
    <font>
      <b/>
      <sz val="11"/>
      <name val="Aptos Narrow"/>
      <family val="2"/>
      <scheme val="minor"/>
    </font>
  </fonts>
  <fills count="10">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CC"/>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2"/>
        <bgColor indexed="64"/>
      </patternFill>
    </fill>
  </fills>
  <borders count="2">
    <border>
      <left/>
      <right/>
      <top/>
      <bottom/>
      <diagonal/>
    </border>
    <border>
      <left/>
      <right/>
      <top/>
      <bottom style="thick">
        <color theme="4"/>
      </bottom>
      <diagonal/>
    </border>
  </borders>
  <cellStyleXfs count="2">
    <xf numFmtId="0" fontId="0" fillId="0" borderId="0"/>
    <xf numFmtId="0" fontId="1" fillId="0" borderId="1" applyNumberFormat="0" applyFill="0" applyAlignment="0" applyProtection="0"/>
  </cellStyleXfs>
  <cellXfs count="38">
    <xf numFmtId="0" fontId="0" fillId="0" borderId="0" xfId="0"/>
    <xf numFmtId="0" fontId="1" fillId="0" borderId="1" xfId="1"/>
    <xf numFmtId="0" fontId="0" fillId="0" borderId="0" xfId="0" applyAlignment="1">
      <alignment vertical="top" wrapText="1"/>
    </xf>
    <xf numFmtId="0" fontId="0" fillId="0" borderId="0" xfId="0" applyAlignment="1">
      <alignment vertical="top"/>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3" borderId="0" xfId="0" applyFill="1" applyAlignment="1">
      <alignment vertical="top" wrapText="1"/>
    </xf>
    <xf numFmtId="0" fontId="0" fillId="2" borderId="0" xfId="0" applyFill="1" applyAlignment="1">
      <alignment vertical="top"/>
    </xf>
    <xf numFmtId="0" fontId="4" fillId="2" borderId="0" xfId="0" applyFont="1" applyFill="1" applyAlignment="1">
      <alignment vertical="top" wrapText="1"/>
    </xf>
    <xf numFmtId="0" fontId="0" fillId="3" borderId="0" xfId="0" applyFill="1" applyAlignment="1">
      <alignment vertical="top"/>
    </xf>
    <xf numFmtId="0" fontId="4" fillId="0" borderId="0" xfId="0" applyFont="1" applyAlignment="1">
      <alignment vertical="top"/>
    </xf>
    <xf numFmtId="0" fontId="4" fillId="3" borderId="0" xfId="0" applyFont="1" applyFill="1" applyAlignment="1">
      <alignment vertical="top" wrapText="1"/>
    </xf>
    <xf numFmtId="0" fontId="4" fillId="0" borderId="0" xfId="0" applyFont="1"/>
    <xf numFmtId="0" fontId="4" fillId="0" borderId="0" xfId="0" applyFont="1" applyAlignment="1">
      <alignment vertical="top" wrapText="1"/>
    </xf>
    <xf numFmtId="0" fontId="4" fillId="0" borderId="0" xfId="0" applyFont="1" applyAlignment="1">
      <alignment wrapText="1"/>
    </xf>
    <xf numFmtId="0" fontId="5" fillId="0" borderId="0" xfId="0" applyFont="1" applyAlignment="1">
      <alignment vertical="center" wrapText="1"/>
    </xf>
    <xf numFmtId="0" fontId="3" fillId="9" borderId="0" xfId="0" applyFont="1" applyFill="1"/>
    <xf numFmtId="0" fontId="0" fillId="9" borderId="0" xfId="0" applyFill="1"/>
    <xf numFmtId="0" fontId="0" fillId="0" borderId="0" xfId="0" applyAlignment="1">
      <alignment wrapText="1"/>
    </xf>
    <xf numFmtId="0" fontId="6" fillId="0" borderId="0" xfId="0" applyFont="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Fill="1" applyAlignment="1"/>
    <xf numFmtId="0" fontId="0" fillId="0" borderId="0" xfId="0" applyFill="1"/>
    <xf numFmtId="0" fontId="0" fillId="0" borderId="0" xfId="0" applyFill="1" applyAlignment="1">
      <alignment horizontal="center"/>
    </xf>
    <xf numFmtId="0" fontId="3" fillId="4" borderId="0" xfId="0" applyFont="1" applyFill="1"/>
    <xf numFmtId="0" fontId="3" fillId="5" borderId="0" xfId="0" applyFont="1" applyFill="1"/>
    <xf numFmtId="0" fontId="3" fillId="6" borderId="0" xfId="0" applyFont="1" applyFill="1"/>
    <xf numFmtId="0" fontId="3" fillId="3" borderId="0" xfId="0" applyFont="1" applyFill="1"/>
    <xf numFmtId="0" fontId="3" fillId="7" borderId="0" xfId="0" applyFont="1" applyFill="1"/>
    <xf numFmtId="0" fontId="3" fillId="8" borderId="0" xfId="0" applyFont="1" applyFill="1"/>
    <xf numFmtId="0" fontId="7" fillId="8" borderId="0" xfId="0" applyFont="1" applyFill="1" applyAlignment="1">
      <alignment horizontal="center"/>
    </xf>
    <xf numFmtId="0" fontId="7" fillId="7" borderId="0" xfId="0" applyFont="1" applyFill="1" applyAlignment="1">
      <alignment horizontal="center"/>
    </xf>
    <xf numFmtId="0" fontId="7" fillId="3" borderId="0" xfId="0" applyFont="1" applyFill="1" applyAlignment="1">
      <alignment horizontal="center"/>
    </xf>
    <xf numFmtId="0" fontId="7" fillId="6" borderId="0" xfId="0" applyFont="1" applyFill="1" applyAlignment="1">
      <alignment horizontal="center"/>
    </xf>
    <xf numFmtId="0" fontId="7" fillId="5" borderId="0" xfId="0" applyFont="1" applyFill="1" applyAlignment="1">
      <alignment horizontal="center"/>
    </xf>
    <xf numFmtId="0" fontId="8" fillId="4" borderId="0" xfId="0" applyFont="1" applyFill="1" applyAlignment="1">
      <alignment horizontal="center"/>
    </xf>
  </cellXfs>
  <cellStyles count="2">
    <cellStyle name="Standard" xfId="0" builtinId="0"/>
    <cellStyle name="Überschrift 1" xfId="1" builtinId="16"/>
  </cellStyles>
  <dxfs count="69">
    <dxf>
      <fill>
        <patternFill patternType="solid">
          <fgColor indexed="64"/>
          <bgColor theme="8" tint="0.59999389629810485"/>
        </patternFill>
      </fill>
    </dxf>
    <dxf>
      <fill>
        <patternFill patternType="solid">
          <fgColor indexed="64"/>
          <bgColor theme="2"/>
        </patternFill>
      </fill>
    </dxf>
    <dxf>
      <font>
        <strike val="0"/>
        <outline val="0"/>
        <shadow val="0"/>
        <u val="none"/>
        <vertAlign val="baseline"/>
        <sz val="11"/>
        <color auto="1"/>
        <name val="Aptos Narrow"/>
        <family val="2"/>
        <scheme val="minor"/>
      </font>
      <fill>
        <patternFill patternType="solid">
          <fgColor indexed="64"/>
          <bgColor theme="8" tint="0.39997558519241921"/>
        </patternFill>
      </fill>
    </dxf>
    <dxf>
      <fill>
        <patternFill patternType="solid">
          <fgColor indexed="64"/>
          <bgColor theme="2"/>
        </patternFill>
      </fill>
    </dxf>
    <dxf>
      <font>
        <strike val="0"/>
        <outline val="0"/>
        <shadow val="0"/>
        <u val="none"/>
        <vertAlign val="baseline"/>
        <sz val="11"/>
        <color auto="1"/>
        <name val="Aptos Narrow"/>
        <family val="2"/>
        <scheme val="minor"/>
      </font>
      <fill>
        <patternFill patternType="solid">
          <fgColor indexed="64"/>
          <bgColor theme="5" tint="0.79998168889431442"/>
        </patternFill>
      </fill>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ill>
        <patternFill patternType="solid">
          <fgColor indexed="64"/>
          <bgColor theme="2"/>
        </patternFill>
      </fill>
    </dxf>
    <dxf>
      <font>
        <strike val="0"/>
        <outline val="0"/>
        <shadow val="0"/>
        <u val="none"/>
        <vertAlign val="baseline"/>
        <sz val="11"/>
        <color auto="1"/>
        <name val="Aptos Narrow"/>
        <family val="2"/>
        <scheme val="minor"/>
      </font>
      <fill>
        <patternFill patternType="solid">
          <fgColor indexed="64"/>
          <bgColor rgb="FFFFFFCC"/>
        </patternFill>
      </fill>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ill>
        <patternFill patternType="solid">
          <fgColor indexed="64"/>
          <bgColor theme="2"/>
        </patternFill>
      </fill>
    </dxf>
    <dxf>
      <font>
        <strike val="0"/>
        <outline val="0"/>
        <shadow val="0"/>
        <u val="none"/>
        <vertAlign val="baseline"/>
        <sz val="11"/>
        <color auto="1"/>
        <name val="Aptos Narrow"/>
        <family val="2"/>
        <scheme val="minor"/>
      </font>
      <fill>
        <patternFill patternType="solid">
          <fgColor indexed="64"/>
          <bgColor theme="9" tint="0.79998168889431442"/>
        </patternFill>
      </fill>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ill>
        <patternFill patternType="solid">
          <fgColor indexed="64"/>
          <bgColor theme="2"/>
        </patternFill>
      </fill>
    </dxf>
    <dxf>
      <font>
        <strike val="0"/>
        <outline val="0"/>
        <shadow val="0"/>
        <u val="none"/>
        <vertAlign val="baseline"/>
        <sz val="11"/>
        <color auto="1"/>
        <name val="Aptos Narrow"/>
        <family val="2"/>
        <scheme val="minor"/>
      </font>
      <fill>
        <patternFill patternType="solid">
          <fgColor indexed="64"/>
          <bgColor theme="4" tint="0.79998168889431442"/>
        </patternFill>
      </fill>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ill>
        <patternFill patternType="solid">
          <fgColor indexed="64"/>
          <bgColor theme="2"/>
        </patternFill>
      </fill>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numFmt numFmtId="0" formatCode="General"/>
      <alignment horizontal="general" vertical="top" textRotation="0" indent="0" justifyLastLine="0" shrinkToFit="0" readingOrder="0"/>
    </dxf>
    <dxf>
      <numFmt numFmtId="0" formatCode="General"/>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strike val="0"/>
        <outline val="0"/>
        <shadow val="0"/>
        <u val="none"/>
        <vertAlign val="baseline"/>
        <sz val="8"/>
        <color theme="1"/>
        <name val="Aptos Narrow"/>
        <family val="2"/>
        <scheme val="minor"/>
      </font>
      <alignment horizontal="general" vertical="top" textRotation="0" wrapText="1" indent="0" justifyLastLine="0" shrinkToFit="0" readingOrder="0"/>
    </dxf>
    <dxf>
      <font>
        <strike val="0"/>
        <outline val="0"/>
        <shadow val="0"/>
        <u val="none"/>
        <vertAlign val="baseline"/>
        <sz val="8"/>
        <color theme="1"/>
        <name val="Aptos Narrow"/>
        <family val="2"/>
        <scheme val="minor"/>
      </font>
      <alignment horizontal="general" vertical="top" textRotation="0" wrapText="1" indent="0" justifyLastLine="0" shrinkToFit="0" readingOrder="0"/>
    </dxf>
    <dxf>
      <font>
        <strike val="0"/>
        <outline val="0"/>
        <shadow val="0"/>
        <u val="none"/>
        <vertAlign val="baseline"/>
        <sz val="8"/>
        <color theme="1"/>
        <name val="Aptos Narrow"/>
        <family val="2"/>
        <scheme val="minor"/>
      </font>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strike val="0"/>
        <outline val="0"/>
        <shadow val="0"/>
        <u val="none"/>
        <vertAlign val="baseline"/>
        <sz val="8"/>
        <color theme="1"/>
        <name val="Aptos Narrow"/>
        <family val="2"/>
        <scheme val="minor"/>
      </font>
      <fill>
        <patternFill patternType="solid">
          <fgColor indexed="64"/>
          <bgColor theme="5" tint="0.79998168889431442"/>
        </patternFill>
      </fill>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743999-FF25-4BFF-9090-55F3381B6B95}" name="Tabelle1" displayName="Tabelle1" ref="A12:C16" totalsRowShown="0">
  <autoFilter ref="A12:C16" xr:uid="{CB743999-FF25-4BFF-9090-55F3381B6B95}"/>
  <tableColumns count="3">
    <tableColumn id="1" xr3:uid="{7E5262B9-2908-4E50-B3B6-287E7FB8027A}" name="ID"/>
    <tableColumn id="5" xr3:uid="{FFCD039C-82FB-4DA9-BE82-7CA41F4F2671}" name="Dimension"/>
    <tableColumn id="2" xr3:uid="{FE31E7E9-EFE2-419B-BFEC-DBC30496358D}" name="Quelle"/>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B76E44-F1F6-4582-BEA4-D67266EFC480}" name="Tabelle5" displayName="Tabelle5" ref="A3:B7" totalsRowShown="0" headerRowDxfId="30" dataDxfId="29">
  <autoFilter ref="A3:B7" xr:uid="{ABB76E44-F1F6-4582-BEA4-D67266EFC480}"/>
  <tableColumns count="2">
    <tableColumn id="1" xr3:uid="{AC16F1F0-156B-428C-B047-1A76755BBA59}" name="Tabellenblatt" dataDxfId="32"/>
    <tableColumn id="2" xr3:uid="{FBB66FBD-D508-4AE7-B0C7-ABEA07EA39B7}" name="Erklärung" dataDxfId="3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B942BA-024F-4D4B-BE3B-ADCC509A33B0}" name="Tabelle2" displayName="Tabelle2" ref="A1:G14" totalsRowShown="0" headerRowDxfId="68" dataDxfId="67">
  <autoFilter ref="A1:G14" xr:uid="{73B942BA-024F-4D4B-BE3B-ADCC509A33B0}"/>
  <tableColumns count="7">
    <tableColumn id="1" xr3:uid="{CE39D5B0-F463-40E2-A434-F371E318C40F}" name="ID " dataDxfId="66"/>
    <tableColumn id="2" xr3:uid="{9D814B27-6EE7-4BB8-A646-76C25F55DB0D}" name="Dimension" dataDxfId="65"/>
    <tableColumn id="3" xr3:uid="{A1E14915-E457-4331-9754-009DC7FA4C88}" name="Achse" dataDxfId="64"/>
    <tableColumn id="4" xr3:uid="{1E0FB3DA-698B-45D7-BE94-7B25A192DBDE}" name="Indikator" dataDxfId="63"/>
    <tableColumn id="5" xr3:uid="{5A830699-4836-425E-A863-409D2BF8316F}" name="0" dataDxfId="62"/>
    <tableColumn id="6" xr3:uid="{174B4383-586C-4CA4-BD04-649BAD13B2A7}" name="1" dataDxfId="61"/>
    <tableColumn id="7" xr3:uid="{4760775C-8AB7-49F6-9B86-5E5378924776}" name="2" dataDxfId="60"/>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9CE631-82F9-4EEC-B41E-C3DAE0AE8988}" name="Tabelle3" displayName="Tabelle3" ref="A1:I3" totalsRowShown="0" headerRowDxfId="59" dataDxfId="58">
  <autoFilter ref="A1:I3" xr:uid="{C49CE631-82F9-4EEC-B41E-C3DAE0AE8988}"/>
  <tableColumns count="9">
    <tableColumn id="1" xr3:uid="{F796E1AC-E9F5-4CFE-978D-474C91E4F1A1}" name="Fall-ID" dataDxfId="57"/>
    <tableColumn id="2" xr3:uid="{5288135B-60C4-481B-A92B-8C0F6FF6BA28}" name="Projektname" dataDxfId="56"/>
    <tableColumn id="3" xr3:uid="{F76D172C-5C03-48E6-8203-C1118F119118}" name="Quelle" dataDxfId="55"/>
    <tableColumn id="4" xr3:uid="{932B45AB-01F6-4165-A039-FCB84B8A508E}" name="Verwendung " dataDxfId="54"/>
    <tableColumn id="5" xr3:uid="{172551C1-C546-49E5-8E8C-E62109E9155E}" name="Erhebungsjahr" dataDxfId="53"/>
    <tableColumn id="6" xr3:uid="{A8C26517-389E-4207-BC0B-DFD95DD0BFAB}" name="abgedeckte Projektphasen" dataDxfId="52"/>
    <tableColumn id="7" xr3:uid="{6FC42598-1D67-4D9C-8BC4-B7B75BA4B0F7}" name="Region" dataDxfId="51"/>
    <tableColumn id="8" xr3:uid="{CA3CA08E-46C4-4AFA-AB20-4697A1DF4795}" name="Trägertyp" dataDxfId="50"/>
    <tableColumn id="9" xr3:uid="{217D06F5-6C33-4E8D-A4F1-D807E9B7BEFC}" name="Notiz" dataDxfId="49"/>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AA66D0-D0F7-4DD5-A8F1-4D52256259DC}" name="Tabelle4" displayName="Tabelle4" ref="A1:N27" totalsRowShown="0" headerRowDxfId="48" dataDxfId="47">
  <autoFilter ref="A1:N27" xr:uid="{A0AA66D0-D0F7-4DD5-A8F1-4D52256259DC}"/>
  <tableColumns count="14">
    <tableColumn id="1" xr3:uid="{BFC7B527-DE86-473E-AE12-FAE51A9D2DC8}" name="Fall-ID" dataDxfId="46"/>
    <tableColumn id="2" xr3:uid="{EDCE9377-941D-49F7-B767-5B73C8A13F7A}" name="Status" dataDxfId="45"/>
    <tableColumn id="3" xr3:uid="{C853978E-A5ED-410E-9B91-2F5406CBE36B}" name="Dimension" dataDxfId="44"/>
    <tableColumn id="13" xr3:uid="{83F2FDE3-7010-461F-B8C2-1DEF89BE1AF5}" name="Indikatoren" dataDxfId="43"/>
    <tableColumn id="4" xr3:uid="{E58B962D-D82C-431D-96DD-EC42C6CD56DF}" name="Indikator-ID" dataDxfId="42"/>
    <tableColumn id="5" xr3:uid="{24963BDE-7E1E-489D-B29B-BCC926B6AE17}" name="Achse" dataDxfId="41"/>
    <tableColumn id="6" xr3:uid="{843F5D34-1D2F-4297-8A8E-480E8D043F26}" name="Wert (1-Mal)" dataDxfId="40"/>
    <tableColumn id="7" xr3:uid="{78BE52CD-C649-4B2F-B69E-2671AEB51462}" name="Ankerbegründung" dataDxfId="39"/>
    <tableColumn id="8" xr3:uid="{EE369C69-CB6B-406B-8BA8-5A12EE21A271}" name="Belegstelle" dataDxfId="38"/>
    <tableColumn id="9" xr3:uid="{BF706EAB-2458-4086-A1C2-55850675B26F}" name="Belegzitat" dataDxfId="37"/>
    <tableColumn id="10" xr3:uid="{2D3D86B3-626E-4E23-BDC0-AE237E272349}" name="Codierungsunsicherheit" dataDxfId="36"/>
    <tableColumn id="11" xr3:uid="{EAE3A41A-1B57-408D-AA16-128B9AE13558}" name="Wert (2-Mal)" dataDxfId="35"/>
    <tableColumn id="12" xr3:uid="{3F6D4EFC-B613-4CBA-BEC2-EE8C4200AA0A}" name="Abweichung" dataDxfId="34">
      <calculatedColumnFormula>IF(L2="","",ABS(L2-G2))</calculatedColumnFormula>
    </tableColumn>
    <tableColumn id="14" xr3:uid="{51FC787A-DA4B-4063-82F7-069AB3EDEF3E}" name="Endwert" dataDxfId="33">
      <calculatedColumnFormula>IF(L2&lt;&gt;"",L2,IF(G2&lt;&gt;"",G2,""))</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96D32A2-74D6-416A-BF0F-76A03D841CB4}" name="Tabelle6" displayName="Tabelle6" ref="A2:E4" totalsRowShown="0" headerRowDxfId="23" dataDxfId="24">
  <autoFilter ref="A2:E4" xr:uid="{596D32A2-74D6-416A-BF0F-76A03D841CB4}"/>
  <tableColumns count="5">
    <tableColumn id="1" xr3:uid="{BE304646-4D9C-4644-8D8D-F7C97C1B9824}" name="Fall-ID" dataDxfId="28"/>
    <tableColumn id="2" xr3:uid="{AED810B5-361B-4232-A239-4227C407FC07}" name="D1" dataDxfId="27">
      <calculatedColumnFormula>IF(COUNTIFS(Arbeitstabelle!$A:$A,$A3,Arbeitstabelle!$E:$E,B$2,Arbeitstabelle!$N:$N,"&gt;=0")=0,"fehlt",SUMIFS(Arbeitstabelle!$N:$N,Arbeitstabelle!$A:$A,$A3,Arbeitstabelle!$E:$E,B$2))</calculatedColumnFormula>
    </tableColumn>
    <tableColumn id="3" xr3:uid="{D236DDA3-A8B6-47D5-BBA2-AA7C67EC6D56}" name="D2" dataDxfId="26">
      <calculatedColumnFormula>IF(COUNTIFS(Arbeitstabelle!$A:$A,$A3,Arbeitstabelle!$E:$E,C$2,Arbeitstabelle!$N:$N,"&gt;=0")=0,"fehlt",SUMIFS(Arbeitstabelle!$N:$N,Arbeitstabelle!$A:$A,$A3,Arbeitstabelle!$E:$E,C$2))</calculatedColumnFormula>
    </tableColumn>
    <tableColumn id="4" xr3:uid="{7CBA0FBE-D12E-4C25-B13D-67051CCECA4E}" name="D3" dataDxfId="25">
      <calculatedColumnFormula>IF(COUNTIFS(Arbeitstabelle!$A:$A,$A3,Arbeitstabelle!$E:$E,D$2,Arbeitstabelle!$N:$N,"&gt;=0")=0,"fehlt",SUMIFS(Arbeitstabelle!$N:$N,Arbeitstabelle!$A:$A,$A3,Arbeitstabelle!$E:$E,D$2))</calculatedColumnFormula>
    </tableColumn>
    <tableColumn id="5" xr3:uid="{EA631B1C-7E55-4948-BE49-E30B8CE1CC33}" name="Summe D">
      <calculatedColumnFormula>SUM(B3:D3)</calculatedColumnFormula>
    </tableColumn>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030690-C13D-4D79-9123-07A499660305}" name="Tabelle7" displayName="Tabelle7" ref="A7:F9" totalsRowShown="0" headerRowDxfId="16" dataDxfId="17">
  <autoFilter ref="A7:F9" xr:uid="{F8030690-C13D-4D79-9123-07A499660305}"/>
  <tableColumns count="6">
    <tableColumn id="1" xr3:uid="{C9830442-47A3-434E-AF55-F3103F72088F}" name="Fall-ID" dataDxfId="22"/>
    <tableColumn id="2" xr3:uid="{8BFEE9F3-2983-4FDC-BA33-46F8003CAE82}" name="M1" dataDxfId="21">
      <calculatedColumnFormula>IF(COUNTIFS(Arbeitstabelle!$A:$A,$A3,Arbeitstabelle!$E:$E,B$7,Arbeitstabelle!$N:$N,"&gt;=0")=0,"fehlt",SUMIFS(Arbeitstabelle!$N:$N,Arbeitstabelle!$A:$A,$A3,Arbeitstabelle!$E:$E,B$7))</calculatedColumnFormula>
    </tableColumn>
    <tableColumn id="3" xr3:uid="{21E0B256-B465-48E1-8897-52971E2FA171}" name="M2" dataDxfId="20">
      <calculatedColumnFormula>IF(COUNTIFS(Arbeitstabelle!$A:$A,$A3,Arbeitstabelle!$E:$E,C$7,Arbeitstabelle!$N:$N,"&gt;=0")=0,"fehlt",SUMIFS(Arbeitstabelle!$N:$N,Arbeitstabelle!$A:$A,$A3,Arbeitstabelle!$E:$E,C$7))</calculatedColumnFormula>
    </tableColumn>
    <tableColumn id="4" xr3:uid="{6C85581E-86FA-4095-BFDA-51C655BA03BE}" name="M3" dataDxfId="19">
      <calculatedColumnFormula>IF(COUNTIFS(Arbeitstabelle!$A:$A,$A3,Arbeitstabelle!$E:$E,D$7,Arbeitstabelle!$N:$N,"&gt;=0")=0,"fehlt",SUMIFS(Arbeitstabelle!$N:$N,Arbeitstabelle!$A:$A,$A3,Arbeitstabelle!$E:$E,D$7))</calculatedColumnFormula>
    </tableColumn>
    <tableColumn id="5" xr3:uid="{2197B8E9-E9EE-41E9-8B80-1B18EF5967AF}" name="M4" dataDxfId="18">
      <calculatedColumnFormula>IF(COUNTIFS(Arbeitstabelle!$A:$A,$A3,Arbeitstabelle!$E:$E,E$7,Arbeitstabelle!$N:$N,"&gt;=0")=0,"fehlt",SUMIFS(Arbeitstabelle!$N:$N,Arbeitstabelle!$A:$A,$A3,Arbeitstabelle!$E:$E,E$7))</calculatedColumnFormula>
    </tableColumn>
    <tableColumn id="6" xr3:uid="{A2F9E282-7B27-425E-A6E7-A9019535EC42}" name="Summe M">
      <calculatedColumnFormula>SUM(B8:E8)</calculatedColumnFormula>
    </tableColumn>
  </tableColumns>
  <tableStyleInfo name="TableStyleLight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CF68A7-9EDE-4E2C-A8C1-91CEE8E790BE}" name="Tabelle8" displayName="Tabelle8" ref="A12:E14" totalsRowShown="0" headerRowDxfId="10" dataDxfId="11">
  <autoFilter ref="A12:E14" xr:uid="{BCCF68A7-9EDE-4E2C-A8C1-91CEE8E790BE}"/>
  <tableColumns count="5">
    <tableColumn id="1" xr3:uid="{BFF1F781-6C05-4630-9660-0D61F1201850}" name="Fall-ID" dataDxfId="15"/>
    <tableColumn id="2" xr3:uid="{9BB169E2-DDB9-40BD-9CEC-7B7B5322556C}" name="I1" dataDxfId="14">
      <calculatedColumnFormula>IF(COUNTIFS(Arbeitstabelle!$A:$A,$A3,Arbeitstabelle!$E:$E,B$12,Arbeitstabelle!$N:$N,"&gt;=0")=0,"fehlt",SUMIFS(Arbeitstabelle!$N:$N,Arbeitstabelle!$A:$A,$A3,Arbeitstabelle!$E:$E,B$12))</calculatedColumnFormula>
    </tableColumn>
    <tableColumn id="3" xr3:uid="{EAC29850-5D3D-402D-8E60-83474F64E12A}" name="I2" dataDxfId="13">
      <calculatedColumnFormula>IF(COUNTIFS(Arbeitstabelle!$A:$A,$A3,Arbeitstabelle!$E:$E,C$12,Arbeitstabelle!$N:$N,"&gt;=0")=0,"fehlt",SUMIFS(Arbeitstabelle!$N:$N,Arbeitstabelle!$A:$A,$A3,Arbeitstabelle!$E:$E,C$12))</calculatedColumnFormula>
    </tableColumn>
    <tableColumn id="4" xr3:uid="{BC61BA78-4D50-416B-9E7B-7EB3FA9EFD4A}" name="I3" dataDxfId="12">
      <calculatedColumnFormula>IF(COUNTIFS(Arbeitstabelle!$A:$A,$A3,Arbeitstabelle!$E:$E,D$12,Arbeitstabelle!$N:$N,"&gt;=0")=0,"fehlt",SUMIFS(Arbeitstabelle!$N:$N,Arbeitstabelle!$A:$A,$A3,Arbeitstabelle!$E:$E,D$12))</calculatedColumnFormula>
    </tableColumn>
    <tableColumn id="5" xr3:uid="{6463C36F-2CBC-481E-AB5A-402BCE84E60A}" name="Summe I">
      <calculatedColumnFormula>SUM(B13:D13)</calculatedColumnFormula>
    </tableColumn>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355140F-3571-44CC-A63F-53D1B586A1DB}" name="Tabelle9" displayName="Tabelle9" ref="A17:E19" totalsRowShown="0" headerRowDxfId="4" dataDxfId="5">
  <autoFilter ref="A17:E19" xr:uid="{7355140F-3571-44CC-A63F-53D1B586A1DB}"/>
  <tableColumns count="5">
    <tableColumn id="1" xr3:uid="{C9C9D941-46CD-4872-817D-D921A8A8984F}" name="Fall-ID" dataDxfId="9"/>
    <tableColumn id="2" xr3:uid="{49C8A454-F20A-46AA-B05D-FB49407895E9}" name="R1" dataDxfId="8">
      <calculatedColumnFormula>IF(COUNTIFS(Arbeitstabelle!$A:$A,$A3,Arbeitstabelle!$E:$E,B$17,Arbeitstabelle!$N:$N,"&gt;=0")=0,"fehlt",SUMIFS(Arbeitstabelle!$N:$N,Arbeitstabelle!$A:$A,$A3,Arbeitstabelle!$E:$E,B$17))</calculatedColumnFormula>
    </tableColumn>
    <tableColumn id="3" xr3:uid="{3DFE42E8-51E5-4AEA-B6FC-5C6C84A5FB28}" name="R2" dataDxfId="7">
      <calculatedColumnFormula>IF(COUNTIFS(Arbeitstabelle!$A:$A,$A3,Arbeitstabelle!$E:$E,C$17,Arbeitstabelle!$N:$N,"&gt;=0")=0,"fehlt",SUMIFS(Arbeitstabelle!$N:$N,Arbeitstabelle!$A:$A,$A3,Arbeitstabelle!$E:$E,C$17))</calculatedColumnFormula>
    </tableColumn>
    <tableColumn id="4" xr3:uid="{C7E1AB46-ECE5-470A-8488-7221AA87248E}" name="R3" dataDxfId="6">
      <calculatedColumnFormula>IF(COUNTIFS(Arbeitstabelle!$A:$A,$A3,Arbeitstabelle!$E:$E,D$17,Arbeitstabelle!$N:$N,"&gt;=0")=0,"fehlt",SUMIFS(Arbeitstabelle!$N:$N,Arbeitstabelle!$A:$A,$A3,Arbeitstabelle!$E:$E,D$17))</calculatedColumnFormula>
    </tableColumn>
    <tableColumn id="5" xr3:uid="{4FBFE7FD-E023-45DE-ADA1-D7AD79288062}" name="Summe R">
      <calculatedColumnFormula>SUM(B18:D18)</calculatedColumnFormula>
    </tableColumn>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F8924A8-56B2-450C-875F-68C56434AC34}" name="Tabelle10" displayName="Tabelle10" ref="A22:E24" totalsRowShown="0" headerRowDxfId="2">
  <autoFilter ref="A22:E24" xr:uid="{0F8924A8-56B2-450C-875F-68C56434AC34}"/>
  <tableColumns count="5">
    <tableColumn id="1" xr3:uid="{9E57FC8B-91E9-45CE-AB1C-A010F4F0794E}" name="Fall-ID" dataDxfId="3"/>
    <tableColumn id="2" xr3:uid="{8888B2F1-5DB6-43AF-B88F-8CD2C5DF36B8}" name="D">
      <calculatedColumnFormula>ROUND(E3/6,2)</calculatedColumnFormula>
    </tableColumn>
    <tableColumn id="3" xr3:uid="{CB49C964-29B7-4691-B570-8C4A697E3F09}" name="M">
      <calculatedColumnFormula>ROUND(F8/8,2)</calculatedColumnFormula>
    </tableColumn>
    <tableColumn id="4" xr3:uid="{6C1D4D4B-8172-42E8-AB9D-91B0EC496746}" name="I">
      <calculatedColumnFormula>ROUND(E13/6,2)</calculatedColumnFormula>
    </tableColumn>
    <tableColumn id="5" xr3:uid="{EB32BD04-DFED-49BF-A574-C0BEB1B24418}" name="R">
      <calculatedColumnFormula>ROUND(E18/6,2)</calculatedColumnFormula>
    </tableColumn>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61BBB95-2DE2-4919-9727-AA35BB75BD15}" name="Tabelle11" displayName="Tabelle11" ref="A27:E29" totalsRowShown="0" headerRowDxfId="0">
  <autoFilter ref="A27:E29" xr:uid="{161BBB95-2DE2-4919-9727-AA35BB75BD15}"/>
  <tableColumns count="5">
    <tableColumn id="1" xr3:uid="{C797B7D6-757E-469B-9494-6BF0B56DEA7F}" name="Fall-ID" dataDxfId="1"/>
    <tableColumn id="2" xr3:uid="{8673CBEB-41DA-497D-A498-22B4684B1CEF}" name="Y-Index">
      <calculatedColumnFormula>AVERAGE(B23:C23)</calculatedColumnFormula>
    </tableColumn>
    <tableColumn id="3" xr3:uid="{2FA435FD-1149-48FC-A679-AAB0DC01863F}" name="X-Index">
      <calculatedColumnFormula>AVERAGE(D23:E23)</calculatedColumnFormula>
    </tableColumn>
    <tableColumn id="4" xr3:uid="{BA428C49-723A-4416-9B4A-6392D96651CB}" name="Y-Quadrant">
      <calculatedColumnFormula>IF(B28&gt;=0.5,"hoch","niedrig")</calculatedColumnFormula>
    </tableColumn>
    <tableColumn id="5" xr3:uid="{74D4426C-D252-4B69-9111-EEDDAA9FCD56}" name="X-Quadrant">
      <calculatedColumnFormula>IF(C28&gt;=0.5,"hoch","niedrig")</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08880-4852-4ADA-8A15-DEC85FE7BBF8}">
  <dimension ref="A1:C22"/>
  <sheetViews>
    <sheetView workbookViewId="0">
      <selection activeCell="B3" sqref="B3"/>
    </sheetView>
  </sheetViews>
  <sheetFormatPr baseColWidth="10" defaultRowHeight="14.5"/>
  <cols>
    <col min="1" max="1" width="17.54296875" customWidth="1"/>
    <col min="2" max="2" width="43.6328125" customWidth="1"/>
    <col min="3" max="3" width="33" customWidth="1"/>
  </cols>
  <sheetData>
    <row r="1" spans="1:3" ht="20" thickBot="1">
      <c r="A1" s="1" t="s">
        <v>0</v>
      </c>
    </row>
    <row r="2" spans="1:3" ht="15" thickTop="1"/>
    <row r="3" spans="1:3">
      <c r="A3" s="21" t="s">
        <v>200</v>
      </c>
      <c r="B3" s="21" t="s">
        <v>201</v>
      </c>
    </row>
    <row r="4" spans="1:3" ht="43.5">
      <c r="A4" s="21" t="s">
        <v>206</v>
      </c>
      <c r="B4" s="22" t="s">
        <v>205</v>
      </c>
    </row>
    <row r="5" spans="1:3" ht="29">
      <c r="A5" s="21" t="s">
        <v>202</v>
      </c>
      <c r="B5" s="22" t="s">
        <v>207</v>
      </c>
    </row>
    <row r="6" spans="1:3" ht="101.5">
      <c r="A6" s="21" t="s">
        <v>203</v>
      </c>
      <c r="B6" s="22" t="s">
        <v>197</v>
      </c>
    </row>
    <row r="7" spans="1:3" ht="58">
      <c r="A7" s="21" t="s">
        <v>204</v>
      </c>
      <c r="B7" s="22" t="s">
        <v>198</v>
      </c>
    </row>
    <row r="10" spans="1:3" ht="20" thickBot="1">
      <c r="A10" s="1" t="s">
        <v>1</v>
      </c>
    </row>
    <row r="11" spans="1:3" ht="15" thickTop="1"/>
    <row r="12" spans="1:3">
      <c r="A12" t="s">
        <v>8</v>
      </c>
      <c r="B12" t="s">
        <v>6</v>
      </c>
      <c r="C12" t="s">
        <v>7</v>
      </c>
    </row>
    <row r="13" spans="1:3" ht="58">
      <c r="A13" t="s">
        <v>9</v>
      </c>
      <c r="B13" t="s">
        <v>2</v>
      </c>
      <c r="C13" s="19" t="s">
        <v>194</v>
      </c>
    </row>
    <row r="14" spans="1:3" ht="43.5">
      <c r="A14" t="s">
        <v>10</v>
      </c>
      <c r="B14" t="s">
        <v>3</v>
      </c>
      <c r="C14" s="19" t="s">
        <v>195</v>
      </c>
    </row>
    <row r="15" spans="1:3" ht="58">
      <c r="A15" t="s">
        <v>12</v>
      </c>
      <c r="B15" t="s">
        <v>4</v>
      </c>
      <c r="C15" s="19" t="s">
        <v>194</v>
      </c>
    </row>
    <row r="16" spans="1:3" ht="29">
      <c r="A16" t="s">
        <v>11</v>
      </c>
      <c r="B16" t="s">
        <v>5</v>
      </c>
      <c r="C16" s="20" t="s">
        <v>193</v>
      </c>
    </row>
    <row r="20" spans="1:1" ht="20" thickBot="1">
      <c r="A20" s="1" t="s">
        <v>126</v>
      </c>
    </row>
    <row r="21" spans="1:1" ht="15" thickTop="1"/>
    <row r="22" spans="1:1">
      <c r="A22" t="s">
        <v>199</v>
      </c>
    </row>
  </sheetData>
  <phoneticPr fontId="2" type="noConversion"/>
  <pageMargins left="0.7" right="0.7" top="0.78740157499999996" bottom="0.78740157499999996"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5F5B0-3267-4908-9AA5-EEFEAF2499AC}">
  <dimension ref="A1:G67"/>
  <sheetViews>
    <sheetView zoomScale="60" zoomScaleNormal="60" workbookViewId="0">
      <selection activeCell="F14" sqref="F14"/>
    </sheetView>
  </sheetViews>
  <sheetFormatPr baseColWidth="10" defaultRowHeight="14.5"/>
  <cols>
    <col min="2" max="2" width="18.1796875" customWidth="1"/>
    <col min="3" max="3" width="6.54296875" customWidth="1"/>
    <col min="4" max="4" width="26.81640625" customWidth="1"/>
    <col min="5" max="5" width="35.36328125" customWidth="1"/>
    <col min="6" max="6" width="41.36328125" customWidth="1"/>
    <col min="7" max="7" width="41.90625" customWidth="1"/>
  </cols>
  <sheetData>
    <row r="1" spans="1:7">
      <c r="A1" s="2" t="s">
        <v>13</v>
      </c>
      <c r="B1" s="2" t="s">
        <v>6</v>
      </c>
      <c r="C1" s="2" t="s">
        <v>14</v>
      </c>
      <c r="D1" s="2" t="s">
        <v>15</v>
      </c>
      <c r="E1" s="2" t="s">
        <v>21</v>
      </c>
      <c r="F1" s="2" t="s">
        <v>22</v>
      </c>
      <c r="G1" s="2" t="s">
        <v>23</v>
      </c>
    </row>
    <row r="2" spans="1:7" ht="29">
      <c r="A2" s="4" t="s">
        <v>16</v>
      </c>
      <c r="B2" s="4" t="s">
        <v>17</v>
      </c>
      <c r="C2" s="4" t="s">
        <v>18</v>
      </c>
      <c r="D2" s="4" t="s">
        <v>19</v>
      </c>
      <c r="E2" s="4" t="s">
        <v>20</v>
      </c>
      <c r="F2" s="4" t="s">
        <v>120</v>
      </c>
      <c r="G2" s="4" t="s">
        <v>122</v>
      </c>
    </row>
    <row r="3" spans="1:7" ht="29">
      <c r="A3" s="4" t="s">
        <v>24</v>
      </c>
      <c r="B3" s="4" t="s">
        <v>17</v>
      </c>
      <c r="C3" s="4" t="s">
        <v>18</v>
      </c>
      <c r="D3" s="4" t="s">
        <v>26</v>
      </c>
      <c r="E3" s="4" t="s">
        <v>27</v>
      </c>
      <c r="F3" s="4" t="s">
        <v>121</v>
      </c>
      <c r="G3" s="4" t="s">
        <v>90</v>
      </c>
    </row>
    <row r="4" spans="1:7" ht="43.5">
      <c r="A4" s="4" t="s">
        <v>25</v>
      </c>
      <c r="B4" s="4" t="s">
        <v>17</v>
      </c>
      <c r="C4" s="4" t="s">
        <v>18</v>
      </c>
      <c r="D4" s="4" t="s">
        <v>28</v>
      </c>
      <c r="E4" s="4" t="s">
        <v>29</v>
      </c>
      <c r="F4" s="4" t="s">
        <v>30</v>
      </c>
      <c r="G4" s="4" t="s">
        <v>31</v>
      </c>
    </row>
    <row r="5" spans="1:7" ht="43.5">
      <c r="A5" s="5" t="s">
        <v>32</v>
      </c>
      <c r="B5" s="5" t="s">
        <v>33</v>
      </c>
      <c r="C5" s="5" t="s">
        <v>18</v>
      </c>
      <c r="D5" s="5" t="s">
        <v>37</v>
      </c>
      <c r="E5" s="5" t="s">
        <v>38</v>
      </c>
      <c r="F5" s="5" t="s">
        <v>125</v>
      </c>
      <c r="G5" s="5" t="s">
        <v>123</v>
      </c>
    </row>
    <row r="6" spans="1:7" ht="29">
      <c r="A6" s="5" t="s">
        <v>34</v>
      </c>
      <c r="B6" s="5" t="s">
        <v>33</v>
      </c>
      <c r="C6" s="5" t="s">
        <v>18</v>
      </c>
      <c r="D6" s="5" t="s">
        <v>39</v>
      </c>
      <c r="E6" s="5" t="s">
        <v>40</v>
      </c>
      <c r="F6" s="5" t="s">
        <v>131</v>
      </c>
      <c r="G6" s="5" t="s">
        <v>41</v>
      </c>
    </row>
    <row r="7" spans="1:7" ht="29">
      <c r="A7" s="5" t="s">
        <v>35</v>
      </c>
      <c r="B7" s="5" t="s">
        <v>33</v>
      </c>
      <c r="C7" s="5" t="s">
        <v>18</v>
      </c>
      <c r="D7" s="5" t="s">
        <v>42</v>
      </c>
      <c r="E7" s="5" t="s">
        <v>43</v>
      </c>
      <c r="F7" s="5" t="s">
        <v>44</v>
      </c>
      <c r="G7" s="5" t="s">
        <v>45</v>
      </c>
    </row>
    <row r="8" spans="1:7" ht="29">
      <c r="A8" s="5" t="s">
        <v>36</v>
      </c>
      <c r="B8" s="5" t="s">
        <v>33</v>
      </c>
      <c r="C8" s="5" t="s">
        <v>18</v>
      </c>
      <c r="D8" s="5" t="s">
        <v>46</v>
      </c>
      <c r="E8" s="5" t="s">
        <v>48</v>
      </c>
      <c r="F8" s="5" t="s">
        <v>47</v>
      </c>
      <c r="G8" s="5" t="s">
        <v>49</v>
      </c>
    </row>
    <row r="9" spans="1:7" ht="29">
      <c r="A9" s="6" t="s">
        <v>50</v>
      </c>
      <c r="B9" s="6" t="s">
        <v>4</v>
      </c>
      <c r="C9" s="6" t="s">
        <v>51</v>
      </c>
      <c r="D9" s="6" t="s">
        <v>54</v>
      </c>
      <c r="E9" s="6" t="s">
        <v>55</v>
      </c>
      <c r="F9" s="6" t="s">
        <v>56</v>
      </c>
      <c r="G9" s="6" t="s">
        <v>57</v>
      </c>
    </row>
    <row r="10" spans="1:7" ht="29">
      <c r="A10" s="6" t="s">
        <v>52</v>
      </c>
      <c r="B10" s="6" t="s">
        <v>4</v>
      </c>
      <c r="C10" s="6" t="s">
        <v>51</v>
      </c>
      <c r="D10" s="6" t="s">
        <v>58</v>
      </c>
      <c r="E10" s="6" t="s">
        <v>59</v>
      </c>
      <c r="F10" s="6" t="s">
        <v>60</v>
      </c>
      <c r="G10" s="6" t="s">
        <v>61</v>
      </c>
    </row>
    <row r="11" spans="1:7" ht="29">
      <c r="A11" s="6" t="s">
        <v>53</v>
      </c>
      <c r="B11" s="6" t="s">
        <v>4</v>
      </c>
      <c r="C11" s="6" t="s">
        <v>51</v>
      </c>
      <c r="D11" s="6" t="s">
        <v>68</v>
      </c>
      <c r="E11" s="6" t="s">
        <v>64</v>
      </c>
      <c r="F11" s="6" t="s">
        <v>63</v>
      </c>
      <c r="G11" s="6" t="s">
        <v>62</v>
      </c>
    </row>
    <row r="12" spans="1:7">
      <c r="A12" s="7" t="s">
        <v>65</v>
      </c>
      <c r="B12" s="7" t="s">
        <v>5</v>
      </c>
      <c r="C12" s="7" t="s">
        <v>51</v>
      </c>
      <c r="D12" s="7" t="s">
        <v>69</v>
      </c>
      <c r="E12" s="7" t="s">
        <v>145</v>
      </c>
      <c r="F12" s="7" t="s">
        <v>72</v>
      </c>
      <c r="G12" s="7" t="s">
        <v>73</v>
      </c>
    </row>
    <row r="13" spans="1:7" ht="29">
      <c r="A13" s="7" t="s">
        <v>66</v>
      </c>
      <c r="B13" s="7" t="s">
        <v>5</v>
      </c>
      <c r="C13" s="7" t="s">
        <v>51</v>
      </c>
      <c r="D13" s="7" t="s">
        <v>70</v>
      </c>
      <c r="E13" s="7" t="s">
        <v>74</v>
      </c>
      <c r="F13" s="7" t="s">
        <v>75</v>
      </c>
      <c r="G13" s="7" t="s">
        <v>76</v>
      </c>
    </row>
    <row r="14" spans="1:7" ht="29">
      <c r="A14" s="7" t="s">
        <v>67</v>
      </c>
      <c r="B14" s="7" t="s">
        <v>5</v>
      </c>
      <c r="C14" s="7" t="s">
        <v>51</v>
      </c>
      <c r="D14" s="7" t="s">
        <v>71</v>
      </c>
      <c r="E14" s="7" t="s">
        <v>130</v>
      </c>
      <c r="F14" s="7" t="s">
        <v>77</v>
      </c>
      <c r="G14" s="7" t="s">
        <v>78</v>
      </c>
    </row>
    <row r="15" spans="1:7">
      <c r="A15" s="3"/>
      <c r="B15" s="3"/>
      <c r="C15" s="3"/>
      <c r="D15" s="3"/>
      <c r="E15" s="3"/>
      <c r="F15" s="3"/>
      <c r="G15" s="3"/>
    </row>
    <row r="16" spans="1:7">
      <c r="A16" s="3"/>
      <c r="B16" s="3"/>
      <c r="C16" s="3"/>
      <c r="D16" s="3"/>
      <c r="E16" s="3"/>
      <c r="F16" s="3"/>
      <c r="G16" s="3"/>
    </row>
    <row r="17" spans="1:7">
      <c r="A17" s="3"/>
      <c r="B17" s="3"/>
      <c r="C17" s="3"/>
      <c r="D17" s="3"/>
      <c r="E17" s="3"/>
      <c r="F17" s="3"/>
      <c r="G17" s="3"/>
    </row>
    <row r="18" spans="1:7">
      <c r="A18" s="3"/>
      <c r="B18" s="3"/>
      <c r="C18" s="3"/>
      <c r="D18" s="3"/>
      <c r="E18" s="3"/>
      <c r="F18" s="3"/>
      <c r="G18" s="3"/>
    </row>
    <row r="19" spans="1:7">
      <c r="A19" s="3"/>
      <c r="B19" s="3"/>
      <c r="C19" s="3"/>
      <c r="D19" s="3"/>
      <c r="E19" s="3"/>
      <c r="F19" s="3"/>
      <c r="G19" s="3"/>
    </row>
    <row r="20" spans="1:7">
      <c r="A20" s="3"/>
      <c r="B20" s="3"/>
      <c r="C20" s="3"/>
      <c r="D20" s="3"/>
      <c r="E20" s="3"/>
      <c r="F20" s="3"/>
      <c r="G20" s="3"/>
    </row>
    <row r="21" spans="1:7">
      <c r="A21" s="3"/>
      <c r="B21" s="3"/>
      <c r="C21" s="3"/>
      <c r="D21" s="3"/>
      <c r="E21" s="3"/>
      <c r="F21" s="3"/>
      <c r="G21" s="3"/>
    </row>
    <row r="22" spans="1:7">
      <c r="A22" s="3"/>
      <c r="B22" s="3"/>
      <c r="C22" s="3"/>
      <c r="D22" s="3"/>
      <c r="E22" s="3"/>
      <c r="F22" s="3"/>
      <c r="G22" s="3"/>
    </row>
    <row r="23" spans="1:7">
      <c r="A23" s="3"/>
      <c r="B23" s="3"/>
      <c r="C23" s="3"/>
      <c r="D23" s="3"/>
      <c r="E23" s="3"/>
      <c r="F23" s="3"/>
      <c r="G23" s="3"/>
    </row>
    <row r="24" spans="1:7">
      <c r="A24" s="3"/>
      <c r="B24" s="3"/>
      <c r="C24" s="3"/>
      <c r="D24" s="3"/>
      <c r="E24" s="3"/>
      <c r="F24" s="3"/>
      <c r="G24" s="3"/>
    </row>
    <row r="25" spans="1:7">
      <c r="A25" s="3"/>
      <c r="B25" s="3"/>
      <c r="C25" s="3"/>
      <c r="D25" s="3"/>
      <c r="E25" s="3"/>
      <c r="F25" s="3"/>
      <c r="G25" s="3"/>
    </row>
    <row r="26" spans="1:7">
      <c r="A26" s="3"/>
      <c r="B26" s="3"/>
      <c r="C26" s="3"/>
      <c r="D26" s="3"/>
      <c r="E26" s="3"/>
      <c r="F26" s="3"/>
      <c r="G26" s="3"/>
    </row>
    <row r="27" spans="1:7">
      <c r="A27" s="3"/>
      <c r="B27" s="3"/>
      <c r="C27" s="3"/>
      <c r="D27" s="3"/>
      <c r="E27" s="3"/>
      <c r="F27" s="3"/>
      <c r="G27" s="3"/>
    </row>
    <row r="28" spans="1:7">
      <c r="A28" s="3"/>
      <c r="B28" s="3"/>
      <c r="C28" s="3"/>
      <c r="D28" s="3"/>
      <c r="E28" s="3"/>
      <c r="F28" s="3"/>
      <c r="G28" s="3"/>
    </row>
    <row r="29" spans="1:7">
      <c r="A29" s="3"/>
      <c r="B29" s="3"/>
      <c r="C29" s="3"/>
      <c r="D29" s="3"/>
      <c r="E29" s="3"/>
      <c r="F29" s="3"/>
      <c r="G29" s="3"/>
    </row>
    <row r="30" spans="1:7">
      <c r="A30" s="3"/>
      <c r="B30" s="3"/>
      <c r="C30" s="3"/>
      <c r="D30" s="3"/>
      <c r="E30" s="3"/>
      <c r="F30" s="3"/>
      <c r="G30" s="3"/>
    </row>
    <row r="31" spans="1:7">
      <c r="A31" s="3"/>
      <c r="B31" s="3"/>
      <c r="C31" s="3"/>
      <c r="D31" s="3"/>
      <c r="E31" s="3"/>
      <c r="F31" s="3"/>
      <c r="G31" s="3"/>
    </row>
    <row r="32" spans="1:7">
      <c r="A32" s="3"/>
      <c r="B32" s="3"/>
      <c r="C32" s="3"/>
      <c r="D32" s="3"/>
      <c r="E32" s="3"/>
      <c r="F32" s="3"/>
      <c r="G32" s="3"/>
    </row>
    <row r="33" spans="1:7">
      <c r="A33" s="3"/>
      <c r="B33" s="3"/>
      <c r="C33" s="3"/>
      <c r="D33" s="3"/>
      <c r="E33" s="3"/>
      <c r="F33" s="3"/>
      <c r="G33" s="3"/>
    </row>
    <row r="34" spans="1:7">
      <c r="A34" s="3"/>
      <c r="B34" s="3"/>
      <c r="C34" s="3"/>
      <c r="D34" s="3"/>
      <c r="E34" s="3"/>
      <c r="F34" s="3"/>
      <c r="G34" s="3"/>
    </row>
    <row r="35" spans="1:7">
      <c r="A35" s="3"/>
      <c r="B35" s="3"/>
      <c r="C35" s="3"/>
      <c r="D35" s="3"/>
      <c r="E35" s="3"/>
      <c r="F35" s="3"/>
      <c r="G35" s="3"/>
    </row>
    <row r="36" spans="1:7">
      <c r="A36" s="3"/>
      <c r="B36" s="3"/>
      <c r="C36" s="3"/>
      <c r="D36" s="3"/>
      <c r="E36" s="3"/>
      <c r="F36" s="3"/>
      <c r="G36" s="3"/>
    </row>
    <row r="37" spans="1:7">
      <c r="A37" s="3"/>
      <c r="B37" s="3"/>
      <c r="C37" s="3"/>
      <c r="D37" s="3"/>
      <c r="E37" s="3"/>
      <c r="F37" s="3"/>
      <c r="G37" s="3"/>
    </row>
    <row r="38" spans="1:7">
      <c r="A38" s="3"/>
      <c r="B38" s="3"/>
      <c r="C38" s="3"/>
      <c r="D38" s="3"/>
      <c r="E38" s="3"/>
      <c r="F38" s="3"/>
      <c r="G38" s="3"/>
    </row>
    <row r="39" spans="1:7">
      <c r="A39" s="3"/>
      <c r="B39" s="3"/>
      <c r="C39" s="3"/>
      <c r="D39" s="3"/>
      <c r="E39" s="3"/>
      <c r="F39" s="3"/>
      <c r="G39" s="3"/>
    </row>
    <row r="40" spans="1:7">
      <c r="A40" s="3"/>
      <c r="B40" s="3"/>
      <c r="C40" s="3"/>
      <c r="D40" s="3"/>
      <c r="E40" s="3"/>
      <c r="F40" s="3"/>
      <c r="G40" s="3"/>
    </row>
    <row r="41" spans="1:7">
      <c r="A41" s="3"/>
      <c r="B41" s="3"/>
      <c r="C41" s="3"/>
      <c r="D41" s="3"/>
      <c r="E41" s="3"/>
      <c r="F41" s="3"/>
      <c r="G41" s="3"/>
    </row>
    <row r="42" spans="1:7">
      <c r="A42" s="3"/>
      <c r="B42" s="3"/>
      <c r="C42" s="3"/>
      <c r="D42" s="3"/>
      <c r="E42" s="3"/>
      <c r="F42" s="3"/>
      <c r="G42" s="3"/>
    </row>
    <row r="43" spans="1:7">
      <c r="A43" s="3"/>
      <c r="B43" s="3"/>
      <c r="C43" s="3"/>
      <c r="D43" s="3"/>
      <c r="E43" s="3"/>
      <c r="F43" s="3"/>
      <c r="G43" s="3"/>
    </row>
    <row r="44" spans="1:7">
      <c r="A44" s="3"/>
      <c r="B44" s="3"/>
      <c r="C44" s="3"/>
      <c r="D44" s="3"/>
      <c r="E44" s="3"/>
      <c r="F44" s="3"/>
      <c r="G44" s="3"/>
    </row>
    <row r="45" spans="1:7">
      <c r="A45" s="3"/>
      <c r="B45" s="3"/>
      <c r="C45" s="3"/>
      <c r="D45" s="3"/>
      <c r="E45" s="3"/>
      <c r="F45" s="3"/>
      <c r="G45" s="3"/>
    </row>
    <row r="46" spans="1:7">
      <c r="A46" s="3"/>
      <c r="B46" s="3"/>
      <c r="C46" s="3"/>
      <c r="D46" s="3"/>
      <c r="E46" s="3"/>
      <c r="F46" s="3"/>
      <c r="G46" s="3"/>
    </row>
    <row r="47" spans="1:7">
      <c r="A47" s="3"/>
      <c r="B47" s="3"/>
      <c r="C47" s="3"/>
      <c r="D47" s="3"/>
      <c r="E47" s="3"/>
      <c r="F47" s="3"/>
      <c r="G47" s="3"/>
    </row>
    <row r="48" spans="1:7">
      <c r="A48" s="3"/>
      <c r="B48" s="3"/>
      <c r="C48" s="3"/>
      <c r="D48" s="3"/>
      <c r="E48" s="3"/>
      <c r="F48" s="3"/>
      <c r="G48" s="3"/>
    </row>
    <row r="49" spans="1:7">
      <c r="A49" s="3"/>
      <c r="B49" s="3"/>
      <c r="C49" s="3"/>
      <c r="D49" s="3"/>
      <c r="E49" s="3"/>
      <c r="F49" s="3"/>
      <c r="G49" s="3"/>
    </row>
    <row r="50" spans="1:7">
      <c r="A50" s="3"/>
      <c r="B50" s="3"/>
      <c r="C50" s="3"/>
      <c r="D50" s="3"/>
      <c r="E50" s="3"/>
      <c r="F50" s="3"/>
      <c r="G50" s="3"/>
    </row>
    <row r="51" spans="1:7">
      <c r="A51" s="3"/>
      <c r="B51" s="3"/>
      <c r="C51" s="3"/>
      <c r="D51" s="3"/>
      <c r="E51" s="3"/>
      <c r="F51" s="3"/>
      <c r="G51" s="3"/>
    </row>
    <row r="52" spans="1:7">
      <c r="A52" s="3"/>
      <c r="B52" s="3"/>
      <c r="C52" s="3"/>
      <c r="D52" s="3"/>
      <c r="E52" s="3"/>
      <c r="F52" s="3"/>
      <c r="G52" s="3"/>
    </row>
    <row r="53" spans="1:7">
      <c r="A53" s="3"/>
      <c r="B53" s="3"/>
      <c r="C53" s="3"/>
      <c r="D53" s="3"/>
      <c r="E53" s="3"/>
      <c r="F53" s="3"/>
      <c r="G53" s="3"/>
    </row>
    <row r="54" spans="1:7">
      <c r="A54" s="3"/>
      <c r="B54" s="3"/>
      <c r="C54" s="3"/>
      <c r="D54" s="3"/>
      <c r="E54" s="3"/>
      <c r="F54" s="3"/>
      <c r="G54" s="3"/>
    </row>
    <row r="55" spans="1:7">
      <c r="A55" s="3"/>
      <c r="B55" s="3"/>
      <c r="C55" s="3"/>
      <c r="D55" s="3"/>
      <c r="E55" s="3"/>
      <c r="F55" s="3"/>
      <c r="G55" s="3"/>
    </row>
    <row r="56" spans="1:7">
      <c r="A56" s="3"/>
      <c r="B56" s="3"/>
      <c r="C56" s="3"/>
      <c r="D56" s="3"/>
      <c r="E56" s="3"/>
      <c r="F56" s="3"/>
      <c r="G56" s="3"/>
    </row>
    <row r="57" spans="1:7">
      <c r="A57" s="3"/>
      <c r="B57" s="3"/>
      <c r="C57" s="3"/>
      <c r="D57" s="3"/>
      <c r="E57" s="3"/>
      <c r="F57" s="3"/>
      <c r="G57" s="3"/>
    </row>
    <row r="58" spans="1:7">
      <c r="A58" s="3"/>
      <c r="B58" s="3"/>
      <c r="C58" s="3"/>
      <c r="D58" s="3"/>
      <c r="E58" s="3"/>
      <c r="F58" s="3"/>
      <c r="G58" s="3"/>
    </row>
    <row r="59" spans="1:7">
      <c r="A59" s="3"/>
      <c r="B59" s="3"/>
      <c r="C59" s="3"/>
      <c r="D59" s="3"/>
      <c r="E59" s="3"/>
      <c r="F59" s="3"/>
      <c r="G59" s="3"/>
    </row>
    <row r="60" spans="1:7">
      <c r="A60" s="3"/>
      <c r="B60" s="3"/>
      <c r="C60" s="3"/>
      <c r="D60" s="3"/>
      <c r="E60" s="3"/>
      <c r="F60" s="3"/>
      <c r="G60" s="3"/>
    </row>
    <row r="61" spans="1:7">
      <c r="A61" s="3"/>
      <c r="B61" s="3"/>
      <c r="C61" s="3"/>
      <c r="D61" s="3"/>
      <c r="E61" s="3"/>
      <c r="F61" s="3"/>
      <c r="G61" s="3"/>
    </row>
    <row r="62" spans="1:7">
      <c r="A62" s="3"/>
      <c r="B62" s="3"/>
      <c r="C62" s="3"/>
      <c r="D62" s="3"/>
      <c r="E62" s="3"/>
      <c r="F62" s="3"/>
      <c r="G62" s="3"/>
    </row>
    <row r="63" spans="1:7">
      <c r="A63" s="3"/>
      <c r="B63" s="3"/>
      <c r="C63" s="3"/>
      <c r="D63" s="3"/>
      <c r="E63" s="3"/>
      <c r="F63" s="3"/>
      <c r="G63" s="3"/>
    </row>
    <row r="64" spans="1:7">
      <c r="A64" s="3"/>
      <c r="B64" s="3"/>
      <c r="C64" s="3"/>
      <c r="D64" s="3"/>
      <c r="E64" s="3"/>
      <c r="F64" s="3"/>
      <c r="G64" s="3"/>
    </row>
    <row r="65" spans="1:7">
      <c r="A65" s="3"/>
      <c r="B65" s="3"/>
      <c r="C65" s="3"/>
      <c r="D65" s="3"/>
      <c r="E65" s="3"/>
      <c r="F65" s="3"/>
      <c r="G65" s="3"/>
    </row>
    <row r="66" spans="1:7">
      <c r="A66" s="3"/>
      <c r="B66" s="3"/>
      <c r="C66" s="3"/>
      <c r="D66" s="3"/>
      <c r="E66" s="3"/>
      <c r="F66" s="3"/>
      <c r="G66" s="3"/>
    </row>
    <row r="67" spans="1:7">
      <c r="A67" s="3"/>
      <c r="B67" s="3"/>
      <c r="C67" s="3"/>
      <c r="D67" s="3"/>
      <c r="E67" s="3"/>
      <c r="F67" s="3"/>
      <c r="G67" s="3"/>
    </row>
  </sheetData>
  <phoneticPr fontId="2" type="noConversion"/>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89211-9034-4D05-8E2A-0D6910316E25}">
  <dimension ref="A1:I3"/>
  <sheetViews>
    <sheetView zoomScale="60" zoomScaleNormal="60" workbookViewId="0">
      <selection activeCell="D3" sqref="D3"/>
    </sheetView>
  </sheetViews>
  <sheetFormatPr baseColWidth="10" defaultRowHeight="14.5"/>
  <cols>
    <col min="2" max="2" width="13.54296875" customWidth="1"/>
    <col min="3" max="3" width="51.7265625" customWidth="1"/>
    <col min="4" max="4" width="13.6328125" customWidth="1"/>
    <col min="5" max="5" width="15.1796875" customWidth="1"/>
    <col min="6" max="6" width="35.36328125" customWidth="1"/>
    <col min="7" max="7" width="16.6328125" customWidth="1"/>
    <col min="8" max="8" width="27.1796875" customWidth="1"/>
    <col min="9" max="9" width="33.81640625" customWidth="1"/>
  </cols>
  <sheetData>
    <row r="1" spans="1:9">
      <c r="A1" s="2" t="s">
        <v>91</v>
      </c>
      <c r="B1" s="2" t="s">
        <v>79</v>
      </c>
      <c r="C1" s="2" t="s">
        <v>7</v>
      </c>
      <c r="D1" s="2" t="s">
        <v>80</v>
      </c>
      <c r="E1" s="2" t="s">
        <v>81</v>
      </c>
      <c r="F1" s="2" t="s">
        <v>82</v>
      </c>
      <c r="G1" s="2" t="s">
        <v>83</v>
      </c>
      <c r="H1" s="2" t="s">
        <v>84</v>
      </c>
      <c r="I1" s="2" t="s">
        <v>85</v>
      </c>
    </row>
    <row r="2" spans="1:9" ht="116">
      <c r="A2" s="2" t="s">
        <v>86</v>
      </c>
      <c r="B2" s="2" t="s">
        <v>87</v>
      </c>
      <c r="C2" s="2" t="s">
        <v>89</v>
      </c>
      <c r="D2" s="2" t="s">
        <v>88</v>
      </c>
      <c r="E2" s="2">
        <v>2025</v>
      </c>
      <c r="F2" s="2" t="s">
        <v>104</v>
      </c>
      <c r="G2" s="2" t="s">
        <v>101</v>
      </c>
      <c r="H2" s="2" t="s">
        <v>102</v>
      </c>
      <c r="I2" s="2"/>
    </row>
    <row r="3" spans="1:9" ht="130.5">
      <c r="A3" s="2" t="s">
        <v>99</v>
      </c>
      <c r="B3" s="2" t="s">
        <v>196</v>
      </c>
      <c r="C3" s="2" t="s">
        <v>100</v>
      </c>
      <c r="D3" s="2" t="s">
        <v>88</v>
      </c>
      <c r="E3" s="2">
        <v>2022</v>
      </c>
      <c r="F3" s="2" t="s">
        <v>103</v>
      </c>
      <c r="G3" s="2" t="s">
        <v>105</v>
      </c>
      <c r="H3" s="2" t="s">
        <v>106</v>
      </c>
      <c r="I3" s="2"/>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9C642-0052-483B-B985-BAB3C9C06330}">
  <dimension ref="A1:N27"/>
  <sheetViews>
    <sheetView tabSelected="1" zoomScale="80" zoomScaleNormal="80" workbookViewId="0">
      <selection activeCell="K4" sqref="K4"/>
    </sheetView>
  </sheetViews>
  <sheetFormatPr baseColWidth="10" defaultRowHeight="14.5"/>
  <cols>
    <col min="1" max="1" width="7.1796875" customWidth="1"/>
    <col min="2" max="2" width="9.81640625" customWidth="1"/>
    <col min="3" max="3" width="13.81640625" customWidth="1"/>
    <col min="4" max="4" width="18.7265625" style="13" customWidth="1"/>
    <col min="7" max="7" width="12.90625" customWidth="1"/>
    <col min="8" max="8" width="22.453125" style="15" customWidth="1"/>
    <col min="9" max="9" width="19.26953125" style="15" customWidth="1"/>
    <col min="10" max="10" width="22.90625" style="15" customWidth="1"/>
    <col min="12" max="12" width="13.08984375" customWidth="1"/>
  </cols>
  <sheetData>
    <row r="1" spans="1:14">
      <c r="A1" s="3" t="s">
        <v>91</v>
      </c>
      <c r="B1" s="3" t="s">
        <v>92</v>
      </c>
      <c r="C1" s="3" t="s">
        <v>6</v>
      </c>
      <c r="D1" s="11" t="s">
        <v>115</v>
      </c>
      <c r="E1" s="3" t="s">
        <v>93</v>
      </c>
      <c r="F1" s="3" t="s">
        <v>14</v>
      </c>
      <c r="G1" s="3" t="s">
        <v>113</v>
      </c>
      <c r="H1" s="14" t="s">
        <v>94</v>
      </c>
      <c r="I1" s="14" t="s">
        <v>95</v>
      </c>
      <c r="J1" s="14" t="s">
        <v>96</v>
      </c>
      <c r="K1" s="3" t="s">
        <v>97</v>
      </c>
      <c r="L1" s="3" t="s">
        <v>114</v>
      </c>
      <c r="M1" s="3" t="s">
        <v>98</v>
      </c>
      <c r="N1" s="3" t="s">
        <v>188</v>
      </c>
    </row>
    <row r="2" spans="1:14" ht="157.5">
      <c r="A2" s="8" t="s">
        <v>86</v>
      </c>
      <c r="B2" s="8" t="s">
        <v>88</v>
      </c>
      <c r="C2" s="8" t="s">
        <v>17</v>
      </c>
      <c r="D2" s="9" t="s">
        <v>19</v>
      </c>
      <c r="E2" s="8" t="s">
        <v>16</v>
      </c>
      <c r="F2" s="8" t="s">
        <v>18</v>
      </c>
      <c r="G2" s="8">
        <v>0</v>
      </c>
      <c r="H2" s="9" t="s">
        <v>124</v>
      </c>
      <c r="I2" s="9" t="s">
        <v>187</v>
      </c>
      <c r="J2" s="9" t="s">
        <v>119</v>
      </c>
      <c r="K2" s="8">
        <v>0</v>
      </c>
      <c r="L2" s="8">
        <v>0</v>
      </c>
      <c r="M2" s="8">
        <f t="shared" ref="M2:M27" si="0">IF(L2="","",ABS(L2-G2))</f>
        <v>0</v>
      </c>
      <c r="N2" s="8">
        <f t="shared" ref="N2:N27" si="1">IF(L2&lt;&gt;"",L2,IF(G2&lt;&gt;"",G2,""))</f>
        <v>0</v>
      </c>
    </row>
    <row r="3" spans="1:14" ht="52.5">
      <c r="A3" s="8" t="s">
        <v>86</v>
      </c>
      <c r="B3" s="8" t="s">
        <v>88</v>
      </c>
      <c r="C3" s="8" t="s">
        <v>17</v>
      </c>
      <c r="D3" s="9" t="s">
        <v>26</v>
      </c>
      <c r="E3" s="8" t="s">
        <v>24</v>
      </c>
      <c r="F3" s="8" t="s">
        <v>18</v>
      </c>
      <c r="G3" s="8">
        <v>0</v>
      </c>
      <c r="H3" s="9" t="s">
        <v>186</v>
      </c>
      <c r="I3" s="9" t="s">
        <v>187</v>
      </c>
      <c r="J3" s="9" t="s">
        <v>116</v>
      </c>
      <c r="K3" s="8">
        <v>0</v>
      </c>
      <c r="L3" s="8">
        <v>0</v>
      </c>
      <c r="M3" s="8">
        <f t="shared" si="0"/>
        <v>0</v>
      </c>
      <c r="N3" s="8">
        <f t="shared" si="1"/>
        <v>0</v>
      </c>
    </row>
    <row r="4" spans="1:14" ht="63">
      <c r="A4" s="8" t="s">
        <v>86</v>
      </c>
      <c r="B4" s="8" t="s">
        <v>88</v>
      </c>
      <c r="C4" s="8" t="s">
        <v>17</v>
      </c>
      <c r="D4" s="9" t="s">
        <v>28</v>
      </c>
      <c r="E4" s="8" t="s">
        <v>25</v>
      </c>
      <c r="F4" s="8" t="s">
        <v>18</v>
      </c>
      <c r="G4" s="8">
        <v>1</v>
      </c>
      <c r="H4" s="9" t="s">
        <v>117</v>
      </c>
      <c r="I4" s="9" t="s">
        <v>187</v>
      </c>
      <c r="J4" s="9" t="s">
        <v>118</v>
      </c>
      <c r="K4" s="8">
        <v>1</v>
      </c>
      <c r="L4" s="8">
        <v>1</v>
      </c>
      <c r="M4" s="8">
        <f t="shared" si="0"/>
        <v>0</v>
      </c>
      <c r="N4" s="8">
        <f t="shared" si="1"/>
        <v>1</v>
      </c>
    </row>
    <row r="5" spans="1:14" ht="42">
      <c r="A5" s="8" t="s">
        <v>86</v>
      </c>
      <c r="B5" s="8" t="s">
        <v>88</v>
      </c>
      <c r="C5" s="8" t="s">
        <v>33</v>
      </c>
      <c r="D5" s="9" t="s">
        <v>37</v>
      </c>
      <c r="E5" s="8" t="s">
        <v>32</v>
      </c>
      <c r="F5" s="8" t="s">
        <v>18</v>
      </c>
      <c r="G5" s="8">
        <v>0</v>
      </c>
      <c r="H5" s="9" t="s">
        <v>139</v>
      </c>
      <c r="I5" s="9" t="s">
        <v>135</v>
      </c>
      <c r="J5" s="9" t="s">
        <v>140</v>
      </c>
      <c r="K5" s="8">
        <v>0</v>
      </c>
      <c r="L5" s="8">
        <v>0</v>
      </c>
      <c r="M5" s="8">
        <f t="shared" si="0"/>
        <v>0</v>
      </c>
      <c r="N5" s="8">
        <f t="shared" si="1"/>
        <v>0</v>
      </c>
    </row>
    <row r="6" spans="1:14" ht="126">
      <c r="A6" s="8" t="s">
        <v>86</v>
      </c>
      <c r="B6" s="8" t="s">
        <v>88</v>
      </c>
      <c r="C6" s="8" t="s">
        <v>33</v>
      </c>
      <c r="D6" s="9" t="s">
        <v>39</v>
      </c>
      <c r="E6" s="8" t="s">
        <v>34</v>
      </c>
      <c r="F6" s="8" t="s">
        <v>18</v>
      </c>
      <c r="G6" s="8">
        <v>0</v>
      </c>
      <c r="H6" s="9" t="s">
        <v>138</v>
      </c>
      <c r="I6" s="9" t="s">
        <v>135</v>
      </c>
      <c r="J6" s="9" t="s">
        <v>141</v>
      </c>
      <c r="K6" s="8">
        <v>0</v>
      </c>
      <c r="L6" s="8">
        <v>0</v>
      </c>
      <c r="M6" s="8">
        <f t="shared" si="0"/>
        <v>0</v>
      </c>
      <c r="N6" s="8">
        <f t="shared" si="1"/>
        <v>0</v>
      </c>
    </row>
    <row r="7" spans="1:14" ht="105">
      <c r="A7" s="8" t="s">
        <v>86</v>
      </c>
      <c r="B7" s="8" t="s">
        <v>88</v>
      </c>
      <c r="C7" s="8" t="s">
        <v>33</v>
      </c>
      <c r="D7" s="9" t="s">
        <v>42</v>
      </c>
      <c r="E7" s="8" t="s">
        <v>35</v>
      </c>
      <c r="F7" s="8" t="s">
        <v>18</v>
      </c>
      <c r="G7" s="8">
        <v>0</v>
      </c>
      <c r="H7" s="9" t="s">
        <v>133</v>
      </c>
      <c r="I7" s="9" t="s">
        <v>132</v>
      </c>
      <c r="J7" s="9" t="s">
        <v>137</v>
      </c>
      <c r="K7" s="8">
        <v>0</v>
      </c>
      <c r="L7" s="8">
        <v>0</v>
      </c>
      <c r="M7" s="8">
        <f t="shared" si="0"/>
        <v>0</v>
      </c>
      <c r="N7" s="8">
        <f t="shared" si="1"/>
        <v>0</v>
      </c>
    </row>
    <row r="8" spans="1:14" ht="31.5">
      <c r="A8" s="8" t="s">
        <v>86</v>
      </c>
      <c r="B8" s="8" t="s">
        <v>88</v>
      </c>
      <c r="C8" s="8" t="s">
        <v>33</v>
      </c>
      <c r="D8" s="9" t="s">
        <v>46</v>
      </c>
      <c r="E8" s="8" t="s">
        <v>36</v>
      </c>
      <c r="F8" s="8" t="s">
        <v>18</v>
      </c>
      <c r="G8" s="8">
        <v>1</v>
      </c>
      <c r="H8" s="9" t="s">
        <v>134</v>
      </c>
      <c r="I8" s="9" t="s">
        <v>135</v>
      </c>
      <c r="J8" s="9" t="s">
        <v>136</v>
      </c>
      <c r="K8" s="8">
        <v>0</v>
      </c>
      <c r="L8" s="8">
        <v>1</v>
      </c>
      <c r="M8" s="8">
        <f t="shared" si="0"/>
        <v>0</v>
      </c>
      <c r="N8" s="8">
        <f t="shared" si="1"/>
        <v>1</v>
      </c>
    </row>
    <row r="9" spans="1:14" ht="42">
      <c r="A9" s="8" t="s">
        <v>86</v>
      </c>
      <c r="B9" s="8" t="s">
        <v>88</v>
      </c>
      <c r="C9" s="8" t="s">
        <v>4</v>
      </c>
      <c r="D9" s="9" t="s">
        <v>54</v>
      </c>
      <c r="E9" s="8" t="s">
        <v>50</v>
      </c>
      <c r="F9" s="8" t="s">
        <v>51</v>
      </c>
      <c r="G9" s="8">
        <v>2</v>
      </c>
      <c r="H9" s="9" t="s">
        <v>142</v>
      </c>
      <c r="I9" s="9" t="s">
        <v>144</v>
      </c>
      <c r="J9" s="9" t="s">
        <v>143</v>
      </c>
      <c r="K9" s="8">
        <v>0</v>
      </c>
      <c r="L9" s="8">
        <v>2</v>
      </c>
      <c r="M9" s="8">
        <f t="shared" si="0"/>
        <v>0</v>
      </c>
      <c r="N9" s="8">
        <f t="shared" si="1"/>
        <v>2</v>
      </c>
    </row>
    <row r="10" spans="1:14" ht="73.5">
      <c r="A10" s="8" t="s">
        <v>86</v>
      </c>
      <c r="B10" s="8" t="s">
        <v>88</v>
      </c>
      <c r="C10" s="8" t="s">
        <v>4</v>
      </c>
      <c r="D10" s="9" t="s">
        <v>58</v>
      </c>
      <c r="E10" s="8" t="s">
        <v>52</v>
      </c>
      <c r="F10" s="8" t="s">
        <v>51</v>
      </c>
      <c r="G10" s="8">
        <v>2</v>
      </c>
      <c r="H10" s="9" t="s">
        <v>147</v>
      </c>
      <c r="I10" s="9" t="s">
        <v>187</v>
      </c>
      <c r="J10" s="9" t="s">
        <v>146</v>
      </c>
      <c r="K10" s="8">
        <v>0</v>
      </c>
      <c r="L10" s="8">
        <v>2</v>
      </c>
      <c r="M10" s="8">
        <f t="shared" si="0"/>
        <v>0</v>
      </c>
      <c r="N10" s="8">
        <f t="shared" si="1"/>
        <v>2</v>
      </c>
    </row>
    <row r="11" spans="1:14" ht="52.5">
      <c r="A11" s="8" t="s">
        <v>86</v>
      </c>
      <c r="B11" s="8" t="s">
        <v>88</v>
      </c>
      <c r="C11" s="8" t="s">
        <v>4</v>
      </c>
      <c r="D11" s="9" t="s">
        <v>68</v>
      </c>
      <c r="E11" s="8" t="s">
        <v>53</v>
      </c>
      <c r="F11" s="8" t="s">
        <v>51</v>
      </c>
      <c r="G11" s="8">
        <v>2</v>
      </c>
      <c r="H11" s="9" t="s">
        <v>176</v>
      </c>
      <c r="I11" s="9" t="s">
        <v>175</v>
      </c>
      <c r="J11" s="9" t="s">
        <v>174</v>
      </c>
      <c r="K11" s="8">
        <v>0</v>
      </c>
      <c r="L11" s="8">
        <v>2</v>
      </c>
      <c r="M11" s="8">
        <f t="shared" si="0"/>
        <v>0</v>
      </c>
      <c r="N11" s="8">
        <f t="shared" si="1"/>
        <v>2</v>
      </c>
    </row>
    <row r="12" spans="1:14" ht="42">
      <c r="A12" s="8" t="s">
        <v>86</v>
      </c>
      <c r="B12" s="8" t="s">
        <v>88</v>
      </c>
      <c r="C12" s="8" t="s">
        <v>5</v>
      </c>
      <c r="D12" s="9" t="s">
        <v>69</v>
      </c>
      <c r="E12" s="8" t="s">
        <v>65</v>
      </c>
      <c r="F12" s="8" t="s">
        <v>51</v>
      </c>
      <c r="G12" s="8">
        <v>0</v>
      </c>
      <c r="H12" s="9" t="s">
        <v>148</v>
      </c>
      <c r="I12" s="9" t="s">
        <v>135</v>
      </c>
      <c r="J12" s="9" t="s">
        <v>149</v>
      </c>
      <c r="K12" s="8">
        <v>0</v>
      </c>
      <c r="L12" s="8">
        <v>0</v>
      </c>
      <c r="M12" s="8">
        <f t="shared" si="0"/>
        <v>0</v>
      </c>
      <c r="N12" s="8">
        <f t="shared" si="1"/>
        <v>0</v>
      </c>
    </row>
    <row r="13" spans="1:14" ht="52.5">
      <c r="A13" s="8" t="s">
        <v>86</v>
      </c>
      <c r="B13" s="8" t="s">
        <v>88</v>
      </c>
      <c r="C13" s="8" t="s">
        <v>5</v>
      </c>
      <c r="D13" s="9" t="s">
        <v>70</v>
      </c>
      <c r="E13" s="8" t="s">
        <v>66</v>
      </c>
      <c r="F13" s="8" t="s">
        <v>51</v>
      </c>
      <c r="G13" s="8">
        <v>1</v>
      </c>
      <c r="H13" s="9" t="s">
        <v>129</v>
      </c>
      <c r="I13" s="9" t="s">
        <v>128</v>
      </c>
      <c r="J13" s="9" t="s">
        <v>127</v>
      </c>
      <c r="K13" s="8">
        <v>0</v>
      </c>
      <c r="L13" s="8">
        <v>1</v>
      </c>
      <c r="M13" s="8">
        <f t="shared" si="0"/>
        <v>0</v>
      </c>
      <c r="N13" s="8">
        <f t="shared" si="1"/>
        <v>1</v>
      </c>
    </row>
    <row r="14" spans="1:14" ht="42">
      <c r="A14" s="8" t="s">
        <v>86</v>
      </c>
      <c r="B14" s="8" t="s">
        <v>88</v>
      </c>
      <c r="C14" s="8" t="s">
        <v>5</v>
      </c>
      <c r="D14" s="9" t="s">
        <v>71</v>
      </c>
      <c r="E14" s="8" t="s">
        <v>67</v>
      </c>
      <c r="F14" s="8" t="s">
        <v>51</v>
      </c>
      <c r="G14" s="8">
        <v>1</v>
      </c>
      <c r="H14" s="9" t="s">
        <v>177</v>
      </c>
      <c r="I14" s="9" t="s">
        <v>178</v>
      </c>
      <c r="J14" s="9" t="s">
        <v>179</v>
      </c>
      <c r="K14" s="8">
        <v>0</v>
      </c>
      <c r="L14" s="8">
        <v>1</v>
      </c>
      <c r="M14" s="8">
        <f t="shared" si="0"/>
        <v>0</v>
      </c>
      <c r="N14" s="8">
        <f t="shared" si="1"/>
        <v>1</v>
      </c>
    </row>
    <row r="15" spans="1:14" ht="94.5">
      <c r="A15" s="10" t="s">
        <v>99</v>
      </c>
      <c r="B15" s="10" t="s">
        <v>88</v>
      </c>
      <c r="C15" s="10" t="s">
        <v>17</v>
      </c>
      <c r="D15" s="12" t="s">
        <v>19</v>
      </c>
      <c r="E15" s="10" t="s">
        <v>16</v>
      </c>
      <c r="F15" s="10" t="s">
        <v>18</v>
      </c>
      <c r="G15" s="10">
        <v>2</v>
      </c>
      <c r="H15" s="12" t="s">
        <v>152</v>
      </c>
      <c r="I15" s="12" t="s">
        <v>150</v>
      </c>
      <c r="J15" s="12" t="s">
        <v>151</v>
      </c>
      <c r="K15" s="10">
        <v>0</v>
      </c>
      <c r="L15" s="10">
        <v>2</v>
      </c>
      <c r="M15" s="10">
        <f t="shared" si="0"/>
        <v>0</v>
      </c>
      <c r="N15" s="10">
        <f t="shared" si="1"/>
        <v>2</v>
      </c>
    </row>
    <row r="16" spans="1:14" ht="94.5">
      <c r="A16" s="10" t="s">
        <v>99</v>
      </c>
      <c r="B16" s="10" t="s">
        <v>88</v>
      </c>
      <c r="C16" s="10" t="s">
        <v>17</v>
      </c>
      <c r="D16" s="12" t="s">
        <v>26</v>
      </c>
      <c r="E16" s="10" t="s">
        <v>24</v>
      </c>
      <c r="F16" s="10" t="s">
        <v>18</v>
      </c>
      <c r="G16" s="10">
        <v>2</v>
      </c>
      <c r="H16" s="12" t="s">
        <v>152</v>
      </c>
      <c r="I16" s="12" t="s">
        <v>150</v>
      </c>
      <c r="J16" s="12" t="s">
        <v>151</v>
      </c>
      <c r="K16" s="10">
        <v>0</v>
      </c>
      <c r="L16" s="10">
        <v>2</v>
      </c>
      <c r="M16" s="10">
        <f t="shared" si="0"/>
        <v>0</v>
      </c>
      <c r="N16" s="10">
        <f t="shared" si="1"/>
        <v>2</v>
      </c>
    </row>
    <row r="17" spans="1:14" ht="189">
      <c r="A17" s="10" t="s">
        <v>99</v>
      </c>
      <c r="B17" s="10" t="s">
        <v>88</v>
      </c>
      <c r="C17" s="10" t="s">
        <v>17</v>
      </c>
      <c r="D17" s="12" t="s">
        <v>28</v>
      </c>
      <c r="E17" s="10" t="s">
        <v>25</v>
      </c>
      <c r="F17" s="10" t="s">
        <v>18</v>
      </c>
      <c r="G17" s="10">
        <v>1</v>
      </c>
      <c r="H17" s="12" t="s">
        <v>165</v>
      </c>
      <c r="I17" s="12" t="s">
        <v>167</v>
      </c>
      <c r="J17" s="12" t="s">
        <v>166</v>
      </c>
      <c r="K17" s="10">
        <v>0</v>
      </c>
      <c r="L17" s="10">
        <v>1</v>
      </c>
      <c r="M17" s="10">
        <f t="shared" si="0"/>
        <v>0</v>
      </c>
      <c r="N17" s="10">
        <f t="shared" si="1"/>
        <v>1</v>
      </c>
    </row>
    <row r="18" spans="1:14" ht="52.5">
      <c r="A18" s="10" t="s">
        <v>99</v>
      </c>
      <c r="B18" s="10" t="s">
        <v>88</v>
      </c>
      <c r="C18" s="10" t="s">
        <v>33</v>
      </c>
      <c r="D18" s="12" t="s">
        <v>37</v>
      </c>
      <c r="E18" s="10" t="s">
        <v>32</v>
      </c>
      <c r="F18" s="10" t="s">
        <v>18</v>
      </c>
      <c r="G18" s="10">
        <v>2</v>
      </c>
      <c r="H18" s="12" t="s">
        <v>159</v>
      </c>
      <c r="I18" s="12" t="s">
        <v>161</v>
      </c>
      <c r="J18" s="12" t="s">
        <v>160</v>
      </c>
      <c r="K18" s="10">
        <v>0</v>
      </c>
      <c r="L18" s="10">
        <v>2</v>
      </c>
      <c r="M18" s="10">
        <f t="shared" si="0"/>
        <v>0</v>
      </c>
      <c r="N18" s="10">
        <f t="shared" si="1"/>
        <v>2</v>
      </c>
    </row>
    <row r="19" spans="1:14" ht="189">
      <c r="A19" s="10" t="s">
        <v>99</v>
      </c>
      <c r="B19" s="10" t="s">
        <v>88</v>
      </c>
      <c r="C19" s="10" t="s">
        <v>33</v>
      </c>
      <c r="D19" s="12" t="s">
        <v>39</v>
      </c>
      <c r="E19" s="10" t="s">
        <v>34</v>
      </c>
      <c r="F19" s="10" t="s">
        <v>18</v>
      </c>
      <c r="G19" s="10">
        <v>2</v>
      </c>
      <c r="H19" s="12" t="s">
        <v>164</v>
      </c>
      <c r="I19" s="12" t="s">
        <v>163</v>
      </c>
      <c r="J19" s="12" t="s">
        <v>162</v>
      </c>
      <c r="K19" s="10">
        <v>0</v>
      </c>
      <c r="L19" s="10">
        <v>2</v>
      </c>
      <c r="M19" s="10">
        <f t="shared" si="0"/>
        <v>0</v>
      </c>
      <c r="N19" s="10">
        <f t="shared" si="1"/>
        <v>2</v>
      </c>
    </row>
    <row r="20" spans="1:14" ht="84">
      <c r="A20" s="10" t="s">
        <v>99</v>
      </c>
      <c r="B20" s="10" t="s">
        <v>88</v>
      </c>
      <c r="C20" s="10" t="s">
        <v>33</v>
      </c>
      <c r="D20" s="12" t="s">
        <v>42</v>
      </c>
      <c r="E20" s="10" t="s">
        <v>35</v>
      </c>
      <c r="F20" s="10" t="s">
        <v>18</v>
      </c>
      <c r="G20" s="10">
        <v>1</v>
      </c>
      <c r="H20" s="12" t="s">
        <v>158</v>
      </c>
      <c r="I20" s="12" t="s">
        <v>132</v>
      </c>
      <c r="J20" s="12" t="s">
        <v>157</v>
      </c>
      <c r="K20" s="10">
        <v>0</v>
      </c>
      <c r="L20" s="10">
        <v>1</v>
      </c>
      <c r="M20" s="10">
        <f t="shared" si="0"/>
        <v>0</v>
      </c>
      <c r="N20" s="10">
        <f t="shared" si="1"/>
        <v>1</v>
      </c>
    </row>
    <row r="21" spans="1:14" ht="52.5">
      <c r="A21" s="10" t="s">
        <v>99</v>
      </c>
      <c r="B21" s="10" t="s">
        <v>88</v>
      </c>
      <c r="C21" s="10" t="s">
        <v>33</v>
      </c>
      <c r="D21" s="12" t="s">
        <v>46</v>
      </c>
      <c r="E21" s="10" t="s">
        <v>36</v>
      </c>
      <c r="F21" s="10" t="s">
        <v>18</v>
      </c>
      <c r="G21" s="10">
        <v>1</v>
      </c>
      <c r="H21" s="12" t="s">
        <v>181</v>
      </c>
      <c r="I21" s="12" t="s">
        <v>150</v>
      </c>
      <c r="J21" s="12" t="s">
        <v>180</v>
      </c>
      <c r="K21" s="10">
        <v>1</v>
      </c>
      <c r="L21" s="10">
        <v>1</v>
      </c>
      <c r="M21" s="10">
        <f t="shared" si="0"/>
        <v>0</v>
      </c>
      <c r="N21" s="10">
        <f t="shared" si="1"/>
        <v>1</v>
      </c>
    </row>
    <row r="22" spans="1:14" ht="52.5">
      <c r="A22" s="10" t="s">
        <v>99</v>
      </c>
      <c r="B22" s="10" t="s">
        <v>88</v>
      </c>
      <c r="C22" s="10" t="s">
        <v>4</v>
      </c>
      <c r="D22" s="12" t="s">
        <v>54</v>
      </c>
      <c r="E22" s="10" t="s">
        <v>50</v>
      </c>
      <c r="F22" s="10" t="s">
        <v>51</v>
      </c>
      <c r="G22" s="10">
        <v>1</v>
      </c>
      <c r="H22" s="12" t="s">
        <v>153</v>
      </c>
      <c r="I22" s="12" t="s">
        <v>150</v>
      </c>
      <c r="J22" s="12" t="s">
        <v>154</v>
      </c>
      <c r="K22" s="10">
        <v>0</v>
      </c>
      <c r="L22" s="10">
        <v>1</v>
      </c>
      <c r="M22" s="10">
        <f t="shared" si="0"/>
        <v>0</v>
      </c>
      <c r="N22" s="10">
        <f t="shared" si="1"/>
        <v>1</v>
      </c>
    </row>
    <row r="23" spans="1:14" ht="42">
      <c r="A23" s="10" t="s">
        <v>99</v>
      </c>
      <c r="B23" s="10" t="s">
        <v>88</v>
      </c>
      <c r="C23" s="10" t="s">
        <v>4</v>
      </c>
      <c r="D23" s="12" t="s">
        <v>58</v>
      </c>
      <c r="E23" s="10" t="s">
        <v>52</v>
      </c>
      <c r="F23" s="10" t="s">
        <v>51</v>
      </c>
      <c r="G23" s="10">
        <v>1</v>
      </c>
      <c r="H23" s="12" t="s">
        <v>155</v>
      </c>
      <c r="I23" s="12" t="s">
        <v>150</v>
      </c>
      <c r="J23" s="12" t="s">
        <v>156</v>
      </c>
      <c r="K23" s="10">
        <v>0</v>
      </c>
      <c r="L23" s="10">
        <v>1</v>
      </c>
      <c r="M23" s="10">
        <f t="shared" si="0"/>
        <v>0</v>
      </c>
      <c r="N23" s="10">
        <f t="shared" si="1"/>
        <v>1</v>
      </c>
    </row>
    <row r="24" spans="1:14" ht="52.5">
      <c r="A24" s="10" t="s">
        <v>99</v>
      </c>
      <c r="B24" s="10" t="s">
        <v>88</v>
      </c>
      <c r="C24" s="10" t="s">
        <v>4</v>
      </c>
      <c r="D24" s="12" t="s">
        <v>68</v>
      </c>
      <c r="E24" s="10" t="s">
        <v>53</v>
      </c>
      <c r="F24" s="10" t="s">
        <v>51</v>
      </c>
      <c r="G24" s="10">
        <v>2</v>
      </c>
      <c r="H24" s="12" t="s">
        <v>169</v>
      </c>
      <c r="I24" s="12" t="s">
        <v>170</v>
      </c>
      <c r="J24" s="12" t="s">
        <v>168</v>
      </c>
      <c r="K24" s="10">
        <v>0</v>
      </c>
      <c r="L24" s="10">
        <v>2</v>
      </c>
      <c r="M24" s="10">
        <f t="shared" si="0"/>
        <v>0</v>
      </c>
      <c r="N24" s="10">
        <f t="shared" si="1"/>
        <v>2</v>
      </c>
    </row>
    <row r="25" spans="1:14" ht="63">
      <c r="A25" s="10" t="s">
        <v>99</v>
      </c>
      <c r="B25" s="10" t="s">
        <v>88</v>
      </c>
      <c r="C25" s="10" t="s">
        <v>5</v>
      </c>
      <c r="D25" s="12" t="s">
        <v>69</v>
      </c>
      <c r="E25" s="10" t="s">
        <v>65</v>
      </c>
      <c r="F25" s="10" t="s">
        <v>51</v>
      </c>
      <c r="G25" s="10">
        <v>1</v>
      </c>
      <c r="H25" s="12" t="s">
        <v>185</v>
      </c>
      <c r="I25" s="12" t="s">
        <v>184</v>
      </c>
      <c r="J25" s="12" t="s">
        <v>183</v>
      </c>
      <c r="K25" s="10">
        <v>0</v>
      </c>
      <c r="L25" s="10">
        <v>1</v>
      </c>
      <c r="M25" s="10">
        <f t="shared" si="0"/>
        <v>0</v>
      </c>
      <c r="N25" s="10">
        <f t="shared" si="1"/>
        <v>1</v>
      </c>
    </row>
    <row r="26" spans="1:14" ht="178.5">
      <c r="A26" s="10" t="s">
        <v>99</v>
      </c>
      <c r="B26" s="10" t="s">
        <v>88</v>
      </c>
      <c r="C26" s="10" t="s">
        <v>5</v>
      </c>
      <c r="D26" s="12" t="s">
        <v>70</v>
      </c>
      <c r="E26" s="10" t="s">
        <v>66</v>
      </c>
      <c r="F26" s="10" t="s">
        <v>51</v>
      </c>
      <c r="G26" s="10">
        <v>1</v>
      </c>
      <c r="H26" s="12" t="s">
        <v>182</v>
      </c>
      <c r="I26" s="12" t="s">
        <v>172</v>
      </c>
      <c r="J26" s="12" t="s">
        <v>171</v>
      </c>
      <c r="K26" s="10">
        <v>0</v>
      </c>
      <c r="L26" s="10">
        <v>1</v>
      </c>
      <c r="M26" s="10">
        <f t="shared" si="0"/>
        <v>0</v>
      </c>
      <c r="N26" s="10">
        <f t="shared" si="1"/>
        <v>1</v>
      </c>
    </row>
    <row r="27" spans="1:14" ht="31.5">
      <c r="A27" s="10" t="s">
        <v>99</v>
      </c>
      <c r="B27" s="10" t="s">
        <v>88</v>
      </c>
      <c r="C27" s="10" t="s">
        <v>5</v>
      </c>
      <c r="D27" s="12" t="s">
        <v>71</v>
      </c>
      <c r="E27" s="10" t="s">
        <v>67</v>
      </c>
      <c r="F27" s="10" t="s">
        <v>51</v>
      </c>
      <c r="G27" s="10">
        <v>1</v>
      </c>
      <c r="H27" s="12" t="s">
        <v>173</v>
      </c>
      <c r="I27" s="12"/>
      <c r="J27" s="12"/>
      <c r="K27" s="10">
        <v>1</v>
      </c>
      <c r="L27" s="10">
        <v>1</v>
      </c>
      <c r="M27" s="10">
        <f t="shared" si="0"/>
        <v>0</v>
      </c>
      <c r="N27" s="10">
        <f t="shared" si="1"/>
        <v>1</v>
      </c>
    </row>
  </sheetData>
  <phoneticPr fontId="2" type="noConversion"/>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75F40-CF98-42C0-AB38-00D2E02021FA}">
  <dimension ref="A1:M29"/>
  <sheetViews>
    <sheetView workbookViewId="0">
      <selection activeCell="H3" sqref="H3"/>
    </sheetView>
  </sheetViews>
  <sheetFormatPr baseColWidth="10" defaultRowHeight="14.5"/>
  <cols>
    <col min="4" max="5" width="12.08984375" customWidth="1"/>
  </cols>
  <sheetData>
    <row r="1" spans="1:6">
      <c r="A1" s="17"/>
      <c r="B1" s="37" t="s">
        <v>17</v>
      </c>
      <c r="C1" s="37"/>
      <c r="D1" s="37"/>
      <c r="E1" s="37"/>
    </row>
    <row r="2" spans="1:6">
      <c r="A2" s="17" t="s">
        <v>91</v>
      </c>
      <c r="B2" s="26" t="s">
        <v>16</v>
      </c>
      <c r="C2" s="26" t="s">
        <v>24</v>
      </c>
      <c r="D2" s="26" t="s">
        <v>25</v>
      </c>
      <c r="E2" s="26" t="s">
        <v>189</v>
      </c>
    </row>
    <row r="3" spans="1:6">
      <c r="A3" s="18" t="s">
        <v>86</v>
      </c>
      <c r="B3" s="16">
        <f>IF(COUNTIFS(Arbeitstabelle!$A:$A,$A3,Arbeitstabelle!$E:$E,B$2,Arbeitstabelle!$N:$N,"&gt;=0")=0,"fehlt",SUMIFS(Arbeitstabelle!$N:$N,Arbeitstabelle!$A:$A,$A3,Arbeitstabelle!$E:$E,B$2))</f>
        <v>0</v>
      </c>
      <c r="C3" s="16">
        <f>IF(COUNTIFS(Arbeitstabelle!$A:$A,$A3,Arbeitstabelle!$E:$E,C$2,Arbeitstabelle!$N:$N,"&gt;=0")=0,"fehlt",SUMIFS(Arbeitstabelle!$N:$N,Arbeitstabelle!$A:$A,$A3,Arbeitstabelle!$E:$E,C$2))</f>
        <v>0</v>
      </c>
      <c r="D3" s="16">
        <f>IF(COUNTIFS(Arbeitstabelle!$A:$A,$A3,Arbeitstabelle!$E:$E,D$2,Arbeitstabelle!$N:$N,"&gt;=0")=0,"fehlt",SUMIFS(Arbeitstabelle!$N:$N,Arbeitstabelle!$A:$A,$A3,Arbeitstabelle!$E:$E,D$2))</f>
        <v>1</v>
      </c>
      <c r="E3">
        <f>SUM(B3:D3)</f>
        <v>1</v>
      </c>
    </row>
    <row r="4" spans="1:6">
      <c r="A4" s="18" t="s">
        <v>99</v>
      </c>
      <c r="B4" s="16">
        <f>IF(COUNTIFS(Arbeitstabelle!$A:$A,$A4,Arbeitstabelle!$E:$E,B$2,Arbeitstabelle!$N:$N,"&gt;=0")=0,"fehlt",SUMIFS(Arbeitstabelle!$N:$N,Arbeitstabelle!$A:$A,$A4,Arbeitstabelle!$E:$E,B$2))</f>
        <v>2</v>
      </c>
      <c r="C4" s="16">
        <f>IF(COUNTIFS(Arbeitstabelle!$A:$A,$A4,Arbeitstabelle!$E:$E,C$2,Arbeitstabelle!$N:$N,"&gt;=0")=0,"fehlt",SUMIFS(Arbeitstabelle!$N:$N,Arbeitstabelle!$A:$A,$A4,Arbeitstabelle!$E:$E,C$2))</f>
        <v>2</v>
      </c>
      <c r="D4" s="16">
        <f>IF(COUNTIFS(Arbeitstabelle!$A:$A,$A4,Arbeitstabelle!$E:$E,D$2,Arbeitstabelle!$N:$N,"&gt;=0")=0,"fehlt",SUMIFS(Arbeitstabelle!$N:$N,Arbeitstabelle!$A:$A,$A4,Arbeitstabelle!$E:$E,D$2))</f>
        <v>1</v>
      </c>
      <c r="E4">
        <f>SUM(B4:D4)</f>
        <v>5</v>
      </c>
    </row>
    <row r="6" spans="1:6">
      <c r="A6" s="18"/>
      <c r="B6" s="36" t="s">
        <v>33</v>
      </c>
      <c r="C6" s="36"/>
      <c r="D6" s="36"/>
      <c r="E6" s="36"/>
      <c r="F6" s="36"/>
    </row>
    <row r="7" spans="1:6">
      <c r="A7" s="17" t="s">
        <v>91</v>
      </c>
      <c r="B7" s="27" t="s">
        <v>32</v>
      </c>
      <c r="C7" s="27" t="s">
        <v>34</v>
      </c>
      <c r="D7" s="27" t="s">
        <v>35</v>
      </c>
      <c r="E7" s="27" t="s">
        <v>36</v>
      </c>
      <c r="F7" s="27" t="s">
        <v>190</v>
      </c>
    </row>
    <row r="8" spans="1:6">
      <c r="A8" s="18" t="s">
        <v>86</v>
      </c>
      <c r="B8" s="16">
        <f>IF(COUNTIFS(Arbeitstabelle!$A:$A,$A3,Arbeitstabelle!$E:$E,B$7,Arbeitstabelle!$N:$N,"&gt;=0")=0,"fehlt",SUMIFS(Arbeitstabelle!$N:$N,Arbeitstabelle!$A:$A,$A3,Arbeitstabelle!$E:$E,B$7))</f>
        <v>0</v>
      </c>
      <c r="C8" s="16">
        <f>IF(COUNTIFS(Arbeitstabelle!$A:$A,$A3,Arbeitstabelle!$E:$E,C$7,Arbeitstabelle!$N:$N,"&gt;=0")=0,"fehlt",SUMIFS(Arbeitstabelle!$N:$N,Arbeitstabelle!$A:$A,$A3,Arbeitstabelle!$E:$E,C$7))</f>
        <v>0</v>
      </c>
      <c r="D8" s="16">
        <f>IF(COUNTIFS(Arbeitstabelle!$A:$A,$A3,Arbeitstabelle!$E:$E,D$7,Arbeitstabelle!$N:$N,"&gt;=0")=0,"fehlt",SUMIFS(Arbeitstabelle!$N:$N,Arbeitstabelle!$A:$A,$A3,Arbeitstabelle!$E:$E,D$7))</f>
        <v>0</v>
      </c>
      <c r="E8" s="16">
        <f>IF(COUNTIFS(Arbeitstabelle!$A:$A,$A3,Arbeitstabelle!$E:$E,E$7,Arbeitstabelle!$N:$N,"&gt;=0")=0,"fehlt",SUMIFS(Arbeitstabelle!$N:$N,Arbeitstabelle!$A:$A,$A3,Arbeitstabelle!$E:$E,E$7))</f>
        <v>1</v>
      </c>
      <c r="F8">
        <f>SUM(B8:E8)</f>
        <v>1</v>
      </c>
    </row>
    <row r="9" spans="1:6">
      <c r="A9" s="18" t="s">
        <v>99</v>
      </c>
      <c r="B9" s="16">
        <f>IF(COUNTIFS(Arbeitstabelle!$A:$A,$A4,Arbeitstabelle!$E:$E,B$7,Arbeitstabelle!$N:$N,"&gt;=0")=0,"fehlt",SUMIFS(Arbeitstabelle!$N:$N,Arbeitstabelle!$A:$A,$A4,Arbeitstabelle!$E:$E,B$7))</f>
        <v>2</v>
      </c>
      <c r="C9" s="16">
        <f>IF(COUNTIFS(Arbeitstabelle!$A:$A,$A4,Arbeitstabelle!$E:$E,C$7,Arbeitstabelle!$N:$N,"&gt;=0")=0,"fehlt",SUMIFS(Arbeitstabelle!$N:$N,Arbeitstabelle!$A:$A,$A4,Arbeitstabelle!$E:$E,C$7))</f>
        <v>2</v>
      </c>
      <c r="D9" s="16">
        <f>IF(COUNTIFS(Arbeitstabelle!$A:$A,$A4,Arbeitstabelle!$E:$E,D$7,Arbeitstabelle!$N:$N,"&gt;=0")=0,"fehlt",SUMIFS(Arbeitstabelle!$N:$N,Arbeitstabelle!$A:$A,$A4,Arbeitstabelle!$E:$E,D$7))</f>
        <v>1</v>
      </c>
      <c r="E9" s="16">
        <f>IF(COUNTIFS(Arbeitstabelle!$A:$A,$A4,Arbeitstabelle!$E:$E,E$7,Arbeitstabelle!$N:$N,"&gt;=0")=0,"fehlt",SUMIFS(Arbeitstabelle!$N:$N,Arbeitstabelle!$A:$A,$A4,Arbeitstabelle!$E:$E,E$7))</f>
        <v>1</v>
      </c>
      <c r="F9">
        <f>SUM(B9:E9)</f>
        <v>6</v>
      </c>
    </row>
    <row r="11" spans="1:6">
      <c r="A11" s="18"/>
      <c r="B11" s="35" t="s">
        <v>4</v>
      </c>
      <c r="C11" s="35"/>
      <c r="D11" s="35"/>
      <c r="E11" s="35"/>
    </row>
    <row r="12" spans="1:6">
      <c r="A12" s="17" t="s">
        <v>91</v>
      </c>
      <c r="B12" s="28" t="s">
        <v>50</v>
      </c>
      <c r="C12" s="28" t="s">
        <v>52</v>
      </c>
      <c r="D12" s="28" t="s">
        <v>53</v>
      </c>
      <c r="E12" s="28" t="s">
        <v>191</v>
      </c>
    </row>
    <row r="13" spans="1:6">
      <c r="A13" s="18" t="s">
        <v>86</v>
      </c>
      <c r="B13" s="16">
        <f>IF(COUNTIFS(Arbeitstabelle!$A:$A,$A3,Arbeitstabelle!$E:$E,B$12,Arbeitstabelle!$N:$N,"&gt;=0")=0,"fehlt",SUMIFS(Arbeitstabelle!$N:$N,Arbeitstabelle!$A:$A,$A3,Arbeitstabelle!$E:$E,B$12))</f>
        <v>2</v>
      </c>
      <c r="C13" s="16">
        <f>IF(COUNTIFS(Arbeitstabelle!$A:$A,$A3,Arbeitstabelle!$E:$E,C$12,Arbeitstabelle!$N:$N,"&gt;=0")=0,"fehlt",SUMIFS(Arbeitstabelle!$N:$N,Arbeitstabelle!$A:$A,$A3,Arbeitstabelle!$E:$E,C$12))</f>
        <v>2</v>
      </c>
      <c r="D13" s="16">
        <f>IF(COUNTIFS(Arbeitstabelle!$A:$A,$A3,Arbeitstabelle!$E:$E,D$12,Arbeitstabelle!$N:$N,"&gt;=0")=0,"fehlt",SUMIFS(Arbeitstabelle!$N:$N,Arbeitstabelle!$A:$A,$A3,Arbeitstabelle!$E:$E,D$12))</f>
        <v>2</v>
      </c>
      <c r="E13">
        <f>SUM(B13:D13)</f>
        <v>6</v>
      </c>
    </row>
    <row r="14" spans="1:6">
      <c r="A14" s="18" t="s">
        <v>99</v>
      </c>
      <c r="B14" s="16">
        <f>IF(COUNTIFS(Arbeitstabelle!$A:$A,$A4,Arbeitstabelle!$E:$E,B$12,Arbeitstabelle!$N:$N,"&gt;=0")=0,"fehlt",SUMIFS(Arbeitstabelle!$N:$N,Arbeitstabelle!$A:$A,$A4,Arbeitstabelle!$E:$E,B$12))</f>
        <v>1</v>
      </c>
      <c r="C14" s="16">
        <f>IF(COUNTIFS(Arbeitstabelle!$A:$A,$A4,Arbeitstabelle!$E:$E,C$12,Arbeitstabelle!$N:$N,"&gt;=0")=0,"fehlt",SUMIFS(Arbeitstabelle!$N:$N,Arbeitstabelle!$A:$A,$A4,Arbeitstabelle!$E:$E,C$12))</f>
        <v>1</v>
      </c>
      <c r="D14" s="16">
        <f>IF(COUNTIFS(Arbeitstabelle!$A:$A,$A4,Arbeitstabelle!$E:$E,D$12,Arbeitstabelle!$N:$N,"&gt;=0")=0,"fehlt",SUMIFS(Arbeitstabelle!$N:$N,Arbeitstabelle!$A:$A,$A4,Arbeitstabelle!$E:$E,D$12))</f>
        <v>2</v>
      </c>
      <c r="E14">
        <f>SUM(B14:D14)</f>
        <v>4</v>
      </c>
    </row>
    <row r="16" spans="1:6">
      <c r="A16" s="18"/>
      <c r="B16" s="34" t="s">
        <v>5</v>
      </c>
      <c r="C16" s="34"/>
      <c r="D16" s="34"/>
      <c r="E16" s="34"/>
    </row>
    <row r="17" spans="1:13">
      <c r="A17" s="17" t="s">
        <v>91</v>
      </c>
      <c r="B17" s="29" t="s">
        <v>65</v>
      </c>
      <c r="C17" s="29" t="s">
        <v>66</v>
      </c>
      <c r="D17" s="29" t="s">
        <v>67</v>
      </c>
      <c r="E17" s="29" t="s">
        <v>192</v>
      </c>
    </row>
    <row r="18" spans="1:13">
      <c r="A18" s="18" t="s">
        <v>86</v>
      </c>
      <c r="B18" s="16">
        <f>IF(COUNTIFS(Arbeitstabelle!$A:$A,$A3,Arbeitstabelle!$E:$E,B$17,Arbeitstabelle!$N:$N,"&gt;=0")=0,"fehlt",SUMIFS(Arbeitstabelle!$N:$N,Arbeitstabelle!$A:$A,$A3,Arbeitstabelle!$E:$E,B$17))</f>
        <v>0</v>
      </c>
      <c r="C18" s="16">
        <f>IF(COUNTIFS(Arbeitstabelle!$A:$A,$A3,Arbeitstabelle!$E:$E,C$17,Arbeitstabelle!$N:$N,"&gt;=0")=0,"fehlt",SUMIFS(Arbeitstabelle!$N:$N,Arbeitstabelle!$A:$A,$A3,Arbeitstabelle!$E:$E,C$17))</f>
        <v>1</v>
      </c>
      <c r="D18" s="16">
        <f>IF(COUNTIFS(Arbeitstabelle!$A:$A,$A3,Arbeitstabelle!$E:$E,D$17,Arbeitstabelle!$N:$N,"&gt;=0")=0,"fehlt",SUMIFS(Arbeitstabelle!$N:$N,Arbeitstabelle!$A:$A,$A3,Arbeitstabelle!$E:$E,D$17))</f>
        <v>1</v>
      </c>
      <c r="E18">
        <f>SUM(B18:D18)</f>
        <v>2</v>
      </c>
      <c r="J18" s="23"/>
      <c r="K18" s="23"/>
      <c r="L18" s="23"/>
      <c r="M18" s="23"/>
    </row>
    <row r="19" spans="1:13">
      <c r="A19" s="18" t="s">
        <v>99</v>
      </c>
      <c r="B19" s="16">
        <f>IF(COUNTIFS(Arbeitstabelle!$A:$A,$A4,Arbeitstabelle!$E:$E,B$17,Arbeitstabelle!$N:$N,"&gt;=0")=0,"fehlt",SUMIFS(Arbeitstabelle!$N:$N,Arbeitstabelle!$A:$A,$A4,Arbeitstabelle!$E:$E,B$17))</f>
        <v>1</v>
      </c>
      <c r="C19" s="16">
        <f>IF(COUNTIFS(Arbeitstabelle!$A:$A,$A4,Arbeitstabelle!$E:$E,C$17,Arbeitstabelle!$N:$N,"&gt;=0")=0,"fehlt",SUMIFS(Arbeitstabelle!$N:$N,Arbeitstabelle!$A:$A,$A4,Arbeitstabelle!$E:$E,C$17))</f>
        <v>1</v>
      </c>
      <c r="D19" s="16">
        <f>IF(COUNTIFS(Arbeitstabelle!$A:$A,$A4,Arbeitstabelle!$E:$E,D$17,Arbeitstabelle!$N:$N,"&gt;=0")=0,"fehlt",SUMIFS(Arbeitstabelle!$N:$N,Arbeitstabelle!$A:$A,$A4,Arbeitstabelle!$E:$E,D$17))</f>
        <v>1</v>
      </c>
      <c r="E19">
        <f>SUM(B19:D19)</f>
        <v>3</v>
      </c>
      <c r="J19" s="25"/>
      <c r="K19" s="24"/>
      <c r="L19" s="24"/>
      <c r="M19" s="24"/>
    </row>
    <row r="21" spans="1:13">
      <c r="A21" s="18"/>
      <c r="B21" s="33" t="s">
        <v>107</v>
      </c>
      <c r="C21" s="33"/>
      <c r="D21" s="33"/>
      <c r="E21" s="33"/>
    </row>
    <row r="22" spans="1:13">
      <c r="A22" s="17" t="s">
        <v>91</v>
      </c>
      <c r="B22" s="30" t="s">
        <v>9</v>
      </c>
      <c r="C22" s="30" t="s">
        <v>10</v>
      </c>
      <c r="D22" s="30" t="s">
        <v>12</v>
      </c>
      <c r="E22" s="30" t="s">
        <v>11</v>
      </c>
    </row>
    <row r="23" spans="1:13">
      <c r="A23" s="18" t="s">
        <v>86</v>
      </c>
      <c r="B23">
        <f>ROUND(E3/6,2)</f>
        <v>0.17</v>
      </c>
      <c r="C23">
        <f>ROUND(F8/8,2)</f>
        <v>0.13</v>
      </c>
      <c r="D23">
        <f>ROUND(E13/6,2)</f>
        <v>1</v>
      </c>
      <c r="E23">
        <f>ROUND(E18/6,2)</f>
        <v>0.33</v>
      </c>
    </row>
    <row r="24" spans="1:13">
      <c r="A24" s="18" t="s">
        <v>99</v>
      </c>
      <c r="B24">
        <f>ROUND(E4/6,2)</f>
        <v>0.83</v>
      </c>
      <c r="C24">
        <f>ROUND(F9/8,2)</f>
        <v>0.75</v>
      </c>
      <c r="D24">
        <f>ROUND(E14/6,2)</f>
        <v>0.67</v>
      </c>
      <c r="E24">
        <f>ROUND(E19/6,2)</f>
        <v>0.5</v>
      </c>
    </row>
    <row r="26" spans="1:13">
      <c r="A26" s="18"/>
      <c r="B26" s="32" t="s">
        <v>110</v>
      </c>
      <c r="C26" s="32"/>
      <c r="D26" s="32"/>
      <c r="E26" s="32"/>
    </row>
    <row r="27" spans="1:13">
      <c r="A27" s="17" t="s">
        <v>91</v>
      </c>
      <c r="B27" s="31" t="s">
        <v>108</v>
      </c>
      <c r="C27" s="31" t="s">
        <v>109</v>
      </c>
      <c r="D27" s="31" t="s">
        <v>111</v>
      </c>
      <c r="E27" s="31" t="s">
        <v>112</v>
      </c>
    </row>
    <row r="28" spans="1:13">
      <c r="A28" s="18" t="s">
        <v>86</v>
      </c>
      <c r="B28">
        <f>AVERAGE(B23:C23)</f>
        <v>0.15000000000000002</v>
      </c>
      <c r="C28">
        <f>AVERAGE(D23:E23)</f>
        <v>0.66500000000000004</v>
      </c>
      <c r="D28" t="str">
        <f>IF(B28&gt;=0.5,"hoch","niedrig")</f>
        <v>niedrig</v>
      </c>
      <c r="E28" t="str">
        <f>IF(C28&gt;=0.5,"hoch","niedrig")</f>
        <v>hoch</v>
      </c>
    </row>
    <row r="29" spans="1:13">
      <c r="A29" s="18" t="s">
        <v>99</v>
      </c>
      <c r="B29">
        <f>AVERAGE(B24:C24)</f>
        <v>0.79</v>
      </c>
      <c r="C29">
        <f>AVERAGE(D24:E24)</f>
        <v>0.58499999999999996</v>
      </c>
      <c r="D29" t="str">
        <f>IF(B29&gt;=0.5,"hoch","niedrig")</f>
        <v>hoch</v>
      </c>
      <c r="E29" t="str">
        <f>IF(C29&gt;=0.5,"hoch","niedrig")</f>
        <v>hoch</v>
      </c>
    </row>
  </sheetData>
  <mergeCells count="6">
    <mergeCell ref="B26:E26"/>
    <mergeCell ref="B21:E21"/>
    <mergeCell ref="B1:E1"/>
    <mergeCell ref="B6:F6"/>
    <mergeCell ref="B11:E11"/>
    <mergeCell ref="B16:E16"/>
  </mergeCells>
  <phoneticPr fontId="2" type="noConversion"/>
  <pageMargins left="0.7" right="0.7" top="0.78740157499999996" bottom="0.78740157499999996" header="0.3" footer="0.3"/>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f6417d7b-ca43-4cc9-8004-0995142b2dc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5FCA1573E369934FB4BBA9A8878F537E" ma:contentTypeVersion="10" ma:contentTypeDescription="Ein neues Dokument erstellen." ma:contentTypeScope="" ma:versionID="8b59a6d68a1ce5b406a41f1a79790244">
  <xsd:schema xmlns:xsd="http://www.w3.org/2001/XMLSchema" xmlns:xs="http://www.w3.org/2001/XMLSchema" xmlns:p="http://schemas.microsoft.com/office/2006/metadata/properties" xmlns:ns3="f6417d7b-ca43-4cc9-8004-0995142b2dc8" targetNamespace="http://schemas.microsoft.com/office/2006/metadata/properties" ma:root="true" ma:fieldsID="913bbec83b7926b145ce91af1b57013e" ns3:_="">
    <xsd:import namespace="f6417d7b-ca43-4cc9-8004-0995142b2dc8"/>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417d7b-ca43-4cc9-8004-0995142b2dc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80AEE7-2147-4CF9-AC0B-BBE9C0BA55AF}">
  <ds:schemaRefs>
    <ds:schemaRef ds:uri="http://schemas.microsoft.com/sharepoint/v3/contenttype/forms"/>
  </ds:schemaRefs>
</ds:datastoreItem>
</file>

<file path=customXml/itemProps2.xml><?xml version="1.0" encoding="utf-8"?>
<ds:datastoreItem xmlns:ds="http://schemas.openxmlformats.org/officeDocument/2006/customXml" ds:itemID="{9D300441-3FC3-4BF3-8FCE-A138E5F2EDED}">
  <ds:schemaRefs>
    <ds:schemaRef ds:uri="http://schemas.microsoft.com/office/2006/metadata/properties"/>
    <ds:schemaRef ds:uri="http://purl.org/dc/terms/"/>
    <ds:schemaRef ds:uri="http://schemas.microsoft.com/office/2006/documentManagement/types"/>
    <ds:schemaRef ds:uri="http://schemas.openxmlformats.org/package/2006/metadata/core-properties"/>
    <ds:schemaRef ds:uri="http://purl.org/dc/elements/1.1/"/>
    <ds:schemaRef ds:uri="f6417d7b-ca43-4cc9-8004-0995142b2dc8"/>
    <ds:schemaRef ds:uri="http://purl.org/dc/dcmitype/"/>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0BA39876-C454-4BDF-B80B-163FFC40D8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417d7b-ca43-4cc9-8004-0995142b2d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Legende</vt:lpstr>
      <vt:lpstr>Codierbuch</vt:lpstr>
      <vt:lpstr>Fallübersicht</vt:lpstr>
      <vt:lpstr>Arbeitstabelle</vt:lpstr>
      <vt:lpstr>Ergebnistabelle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Wandinger, Joanna</dc:creator>
  <cp:lastModifiedBy>Wandinger, Joanna</cp:lastModifiedBy>
  <dcterms:created xsi:type="dcterms:W3CDTF">2026-09-18T12:52:31Z</dcterms:created>
  <dcterms:modified xsi:type="dcterms:W3CDTF">2026-10-13T09:12:06Z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0x0101005FCA1573E369934FB4BBA9A8878F537E</vt:lpwstr>
  </property>
</Properties>
</file>